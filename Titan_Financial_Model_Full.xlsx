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Conclusion" sheetId="1" state="visible" r:id="rId3"/>
    <sheet name="Cover &amp; Assumptions" sheetId="2" state="visible" r:id="rId4"/>
    <sheet name="Historical Financials" sheetId="3" state="visible" r:id="rId5"/>
    <sheet name="Ratio Analysis" sheetId="4" state="visible" r:id="rId6"/>
    <sheet name="DCF Valuation" sheetId="5" state="visible" r:id="rId7"/>
    <sheet name="Peer Benchmark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<sst xmlns="http://schemas.openxmlformats.org/spreadsheetml/2006/main" count="228" uniqueCount="181">
  <si>
    <t xml:space="preserve">TITAN COMPANY LIMITED</t>
  </si>
  <si>
    <t xml:space="preserve">Financial Statement Analysis, 3-Statement Model, DCF Valuation &amp; Peer Benchmarking</t>
  </si>
  <si>
    <t xml:space="preserve">Prepared by Abirami N | MBA Finance | Sep 2026</t>
  </si>
  <si>
    <t xml:space="preserve">EXECUTIVE SUMMARY</t>
  </si>
  <si>
    <t xml:space="preserve">This project evaluates Titan Company Limited's financial health and valuation over FY2022-FY2026 through four lenses: ratio-based risk analysis, a fully linked 3-statement model, a DCF valuation, and benchmarking against Kalyan Jewellers, its closest listed peer. The analysis finds a financially strong, well-run business whose current market valuation prices in growth and margin expansion well beyond what a standard 5-year explicit forecast can justify.</t>
  </si>
  <si>
    <t xml:space="preserve">KEY FIGURES (FY2026)</t>
  </si>
  <si>
    <t xml:space="preserve">Revenue</t>
  </si>
  <si>
    <t xml:space="preserve">Net Profit Margin</t>
  </si>
  <si>
    <t xml:space="preserve">Return on Equity (ROE)</t>
  </si>
  <si>
    <t xml:space="preserve">Debt-to-Equity</t>
  </si>
  <si>
    <t xml:space="preserve">Interest Coverage Ratio</t>
  </si>
  <si>
    <t xml:space="preserve">WACC (DCF)</t>
  </si>
  <si>
    <t xml:space="preserve">DCF Implied Share Price</t>
  </si>
  <si>
    <t xml:space="preserve">Current Market Price</t>
  </si>
  <si>
    <t xml:space="preserve">Implied Upside / (Downside)</t>
  </si>
  <si>
    <t xml:space="preserve">KEY FINDINGS</t>
  </si>
  <si>
    <t xml:space="preserve">1. Rising leverage risk: Debt-to-Equity nearly doubled (0.78x → 1.95x, FY22-FY26) and Interest Coverage fell from 16.2x to 7.5x over the same period — debt is growing faster than the business's ability to service it comfortably, and this is the single clearest audit-style risk flag in the model.</t>
  </si>
  <si>
    <t xml:space="preserve">2. Strong but volatile working capital intensity: Inventory Days rose to ~178 by FY26, and the increase-in-NWC ratio spiked to ~81% of incremental sales in FY25 alone — a heavy, uneven cash drag tied to gold stock build-up that's worth monitoring.</t>
  </si>
  <si>
    <t xml:space="preserve">3. DCF suggests the stock is priced for a growth story beyond the base case: at a realistic WACC (10.8%, using market-value capital weights) and a conservative 15% growth fade, the DCF implies a share price of ~₹236 against a market price of ~₹3,951. Even the most optimistic sensitivity scenario (lower WACC, higher terminal growth) tops out around ₹476 — well below market. This is consistent with how high-quality "compounder" stocks typically trade, not a modeling error.</t>
  </si>
  <si>
    <t xml:space="preserve">4. Justified premium over peers, but a wide one: Titan beats Kalyan Jewellers on every profitability metric (EBITDA margin, net margin, ROE) and the market rewards that with materially higher multiples (P/E 69x vs 45x). The gap in multiples is wider than the gap in fundamentals alone would suggest — the market is also paying for Titan's brand moat and category diversification (jewellery + watches + eyewear) that Kalyan doesn't have.</t>
  </si>
  <si>
    <t xml:space="preserve">HOW TO NAVIGATE THIS WORKBOOK</t>
  </si>
  <si>
    <t xml:space="preserve">Cover &amp; Assumptions</t>
  </si>
  <si>
    <t xml:space="preserve">WACC and forecast assumptions — all editable (yellow cells)</t>
  </si>
  <si>
    <t xml:space="preserve">Historical Financials</t>
  </si>
  <si>
    <t xml:space="preserve">Titan's 3-statement model, FY2022-FY2026, fully linked</t>
  </si>
  <si>
    <t xml:space="preserve">Ratio Analysis</t>
  </si>
  <si>
    <t xml:space="preserve">9 liquidity/profitability/solvency ratios with automated risk flags</t>
  </si>
  <si>
    <t xml:space="preserve">DCF Valuation</t>
  </si>
  <si>
    <t xml:space="preserve">5-yr FCF projection, WACC build-up, terminal value, sensitivity table</t>
  </si>
  <si>
    <t xml:space="preserve">Peer Benchmarking</t>
  </si>
  <si>
    <t xml:space="preserve">Titan vs. Kalyan Jewellers on growth, margins, ROE, and multiples</t>
  </si>
  <si>
    <t xml:space="preserve">Financial Statement Analysis, 3-Statement Model &amp; DCF Valuation</t>
  </si>
  <si>
    <t xml:space="preserve">All figures in ₹ Crores unless stated otherwise</t>
  </si>
  <si>
    <t xml:space="preserve">Data Source</t>
  </si>
  <si>
    <t xml:space="preserve">Screener.in (compiled from Titan Company Ltd. annual reports/filings), retrieved Sep 2026</t>
  </si>
  <si>
    <t xml:space="preserve">Period Covered</t>
  </si>
  <si>
    <t xml:space="preserve">FY2022 - FY2026 (5-year historicals)</t>
  </si>
  <si>
    <t xml:space="preserve">Current Market Price (as of data pull)</t>
  </si>
  <si>
    <t xml:space="preserve">Shares Outstanding (Cr)</t>
  </si>
  <si>
    <t xml:space="preserve">KEY MODEL ASSUMPTIONS (edit yellow cells)</t>
  </si>
  <si>
    <t xml:space="preserve">Risk-free rate (10Y G-Sec)</t>
  </si>
  <si>
    <t xml:space="preserve">Equity risk premium</t>
  </si>
  <si>
    <t xml:space="preserve">Beta (Titan, 3Y)</t>
  </si>
  <si>
    <t xml:space="preserve">Cost of debt (pre-tax)</t>
  </si>
  <si>
    <t xml:space="preserve">Effective tax rate</t>
  </si>
  <si>
    <t xml:space="preserve">Terminal growth rate (g)</t>
  </si>
  <si>
    <t xml:space="preserve">Explicit forecast period (years)</t>
  </si>
  <si>
    <t xml:space="preserve">PROJECTION ASSUMPTIONS (DCF, edit yellow cells)</t>
  </si>
  <si>
    <t xml:space="preserve">Projected Revenue Growth (Yr1-5, flat)</t>
  </si>
  <si>
    <t xml:space="preserve">Historical 4-yr CAGR was ~32%, but FY26 growth was likely inflated by the gold price rally; 15% is a more conservative, sustainable estimate — revisit this.</t>
  </si>
  <si>
    <t xml:space="preserve">Projected EBITDA Margin</t>
  </si>
  <si>
    <t xml:space="preserve">3-year historical average (FY24–FY26)</t>
  </si>
  <si>
    <t xml:space="preserve">D&amp;A (% of Sales)</t>
  </si>
  <si>
    <t xml:space="preserve">5-year historical average</t>
  </si>
  <si>
    <t xml:space="preserve">Capex (% of Sales)</t>
  </si>
  <si>
    <t xml:space="preserve">Derived: (ΔNet Block + Depreciation + ΔCWIP) / Sales, 4-yr average</t>
  </si>
  <si>
    <t xml:space="preserve">Increase in NWC (% of ΔSales)</t>
  </si>
  <si>
    <t xml:space="preserve">Historical range was 16-31% in three of four years, with one outlier year (FY25) at ~81% (inventory build spike); using ~20% as a steadier baseline rather than the skewed 4-yr average</t>
  </si>
  <si>
    <t xml:space="preserve">TITAN COMPANY LTD — HISTORICAL FINANCIAL STATEMENTS (₹ Cr)</t>
  </si>
  <si>
    <t xml:space="preserve">Source: Screener.in / Company Annual Reports, FY2022–FY2026</t>
  </si>
  <si>
    <t xml:space="preserve">INCOME STATEMENT</t>
  </si>
  <si>
    <t xml:space="preserve">Particulars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</si>
  <si>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</si>
  <si>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</si>
  <si>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</si>
  <si>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</si>
  <si>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</si>
  <si>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Sales / Revenue</t>
  </si>
  <si>
    <t xml:space="preserve">   Raw Material Cost</t>
  </si>
  <si>
    <t xml:space="preserve">   Change in Inventory (per Screener convention)</t>
  </si>
  <si>
    <t xml:space="preserve">   Power &amp; Fuel</t>
  </si>
  <si>
    <t xml:space="preserve">   Other Mfg. Expenses</t>
  </si>
  <si>
    <t xml:space="preserve">   Employee Cost</t>
  </si>
  <si>
    <t xml:space="preserve">   Selling &amp; Admin Expenses</t>
  </si>
  <si>
    <t xml:space="preserve">   Other Expenses</t>
  </si>
  <si>
    <t xml:space="preserve">Itemized lines above are as reported by Screener; Total Expenses below is derived from PBT (see note)</t>
  </si>
  <si>
    <t xml:space="preserve">Other Income</t>
  </si>
  <si>
    <t xml:space="preserve">Depreciation</t>
  </si>
  <si>
    <t xml:space="preserve">Interest</t>
  </si>
  <si>
    <t xml:space="preserve">Profit Before Tax</t>
  </si>
  <si>
    <t xml:space="preserve">Hardcoded from Screener (reliable, audited figure)</t>
  </si>
  <si>
    <t xml:space="preserve">Operating Profit (EBITDA) [derived]</t>
  </si>
  <si>
    <t xml:space="preserve">Formula: PBT − Other Income + Depreciation + Interest</t>
  </si>
  <si>
    <t xml:space="preserve">Total Expenses [derived]</t>
  </si>
  <si>
    <t xml:space="preserve">Formula: Sales − Operating Profit (plug)</t>
  </si>
  <si>
    <t xml:space="preserve">Tax</t>
  </si>
  <si>
    <t xml:space="preserve">Net Profit</t>
  </si>
  <si>
    <t xml:space="preserve">BALANCE SHEET</t>
  </si>
  <si>
    <t xml:space="preserve">Equity Share Capital</t>
  </si>
  <si>
    <t xml:space="preserve">Reserves &amp; Surplus</t>
  </si>
  <si>
    <t xml:space="preserve">Borrowings</t>
  </si>
  <si>
    <t xml:space="preserve">Other Liabilities</t>
  </si>
  <si>
    <t xml:space="preserve">Total Liabilities &amp; Equity</t>
  </si>
  <si>
    <t xml:space="preserve">Net Block (Fixed Assets)</t>
  </si>
  <si>
    <t xml:space="preserve">Capital Work in Progress</t>
  </si>
  <si>
    <t xml:space="preserve">Investments</t>
  </si>
  <si>
    <t xml:space="preserve">Other Assets (incl. Inventory, Receivables, Cash)</t>
  </si>
  <si>
    <t xml:space="preserve">Total Assets</t>
  </si>
  <si>
    <t xml:space="preserve">Balance Check (Assets − Liabilities)</t>
  </si>
  <si>
    <t xml:space="preserve">Receivables</t>
  </si>
  <si>
    <t xml:space="preserve">Inventory</t>
  </si>
  <si>
    <t xml:space="preserve">Cash &amp; Bank</t>
  </si>
  <si>
    <t xml:space="preserve">CASH FLOW STATEMENT</t>
  </si>
  <si>
    <t xml:space="preserve">Cash from Operating Activity</t>
  </si>
  <si>
    <t xml:space="preserve">Cash from Investing Activity</t>
  </si>
  <si>
    <t xml:space="preserve">Cash from Financing Activity</t>
  </si>
  <si>
    <t xml:space="preserve">Net Cash Flow</t>
  </si>
  <si>
    <t xml:space="preserve">TITAN COMPANY LTD — RATIO &amp; RISK ANALYSIS</t>
  </si>
  <si>
    <t xml:space="preserve">Liquidity, profitability &amp; solvency ratios, FY2022–FY2026, with risk commentary</t>
  </si>
  <si>
    <t xml:space="preserve">RATIO</t>
  </si>
  <si>
    <t xml:space="preserve">Trend / Risk Flag</t>
  </si>
  <si>
    <t xml:space="preserve">Operating Profit Margin (OPM)</t>
  </si>
  <si>
    <t xml:space="preserve">Return on Capital Employed (ROCE)</t>
  </si>
  <si>
    <t xml:space="preserve">Debt-to-Equity Ratio</t>
  </si>
  <si>
    <t xml:space="preserve">Inventory Days</t>
  </si>
  <si>
    <t xml:space="preserve">Debtor Days</t>
  </si>
  <si>
    <t xml:space="preserve">Asset Turnover Ratio</t>
  </si>
  <si>
    <t xml:space="preserve">Cash &amp; Bank (% of Total Assets)</t>
  </si>
  <si>
    <t xml:space="preserve">AUDIT-STYLE RISK NOTES</t>
  </si>
  <si>
    <t xml:space="preserve">1. Borrowings grew from ₹7,275 Cr (FY22) to ₹30,621 Cr (FY26), a ~4.2x increase — review Debt-to-Equity and Interest Coverage trend above before concluding on solvency risk.</t>
  </si>
  <si>
    <t xml:space="preserve">2. Inventory nearly tripled (₹13,609 Cr → ₹42,743 Cr) over the same period — check whether this tracks revenue growth (~3x) or signals a slower-moving stock build-up.</t>
  </si>
  <si>
    <t xml:space="preserve">3. Cash from Operating Activity was negative in FY22 and FY25 — worth investigating working-capital swings behind these two years specifically.</t>
  </si>
  <si>
    <t xml:space="preserve">4. Fill in your own observations here once you review the trend/flag column above — this is where your analytical judgment (the actual audit-relevant skill) goes.</t>
  </si>
  <si>
    <t xml:space="preserve">TITAN COMPANY LTD — DCF VALUATION</t>
  </si>
  <si>
    <t xml:space="preserve">5-year FCF projection, WACC-discounted, with terminal value (Gordon Growth)</t>
  </si>
  <si>
    <t xml:space="preserve">FREE CASH FLOW PROJECTION (₹ Cr)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</si>
  <si>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</si>
  <si>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</si>
  <si>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</si>
  <si>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</si>
  <si>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</si>
  <si>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EBITDA (at target margin)</t>
  </si>
  <si>
    <t xml:space="preserve">Less: D&amp;A</t>
  </si>
  <si>
    <t xml:space="preserve">EBIT</t>
  </si>
  <si>
    <t xml:space="preserve">Less: Tax on EBIT</t>
  </si>
  <si>
    <t xml:space="preserve">NOPAT</t>
  </si>
  <si>
    <t xml:space="preserve">Add: D&amp;A</t>
  </si>
  <si>
    <t xml:space="preserve">Less: Capex</t>
  </si>
  <si>
    <t xml:space="preserve">Less: Increase in NWC</t>
  </si>
  <si>
    <t xml:space="preserve">Free Cash Flow (FCF)</t>
  </si>
  <si>
    <t xml:space="preserve">WACC CALCULATION</t>
  </si>
  <si>
    <t xml:space="preserve">Cost of Equity (CAPM) = Rf + Beta × ERP</t>
  </si>
  <si>
    <t xml:space="preserve">Post-tax Cost of Debt = Kd × (1 - Tax)</t>
  </si>
  <si>
    <t xml:space="preserve">Weight of Equity = Market Cap / (Market Cap + Borrowings)</t>
  </si>
  <si>
    <t xml:space="preserve">Weight of Debt</t>
  </si>
  <si>
    <t xml:space="preserve">WACC</t>
  </si>
  <si>
    <t xml:space="preserve">VALUATION</t>
  </si>
  <si>
    <t xml:space="preserve">Discount Factor</t>
  </si>
  <si>
    <t xml:space="preserve">PV of FCF</t>
  </si>
  <si>
    <t xml:space="preserve">Sum of PV of FCF (Yr1-5)</t>
  </si>
  <si>
    <t xml:space="preserve">Terminal Value (Yr5) = FCF5 × (1+g) / (WACC - g)</t>
  </si>
  <si>
    <t xml:space="preserve">PV of Terminal Value</t>
  </si>
  <si>
    <t xml:space="preserve">Enterprise Value</t>
  </si>
  <si>
    <t xml:space="preserve">Less: Net Debt (FY26 Borrowings − Cash &amp; Bank)</t>
  </si>
  <si>
    <t xml:space="preserve">Equity Value</t>
  </si>
  <si>
    <t xml:space="preserve">Implied Share Price</t>
  </si>
  <si>
    <t xml:space="preserve">SENSITIVITY: IMPLIED SHARE PRICE (WACC vs Terminal Growth)</t>
  </si>
  <si>
    <t xml:space="preserve">WACC \ Terminal g</t>
  </si>
  <si>
    <t xml:space="preserve">Base case (highlighted cell = center of grid) uses the WACC and terminal growth from the assumptions above.</t>
  </si>
  <si>
    <t xml:space="preserve">TITAN vs. KALYAN JEWELLERS — PEER BENCHMARKING (₹ Cr)</t>
  </si>
  <si>
    <t xml:space="preserve">Source: Screener.in, FY2022–FY2026 | Peer selected for jewellery-segment comparability</t>
  </si>
  <si>
    <t xml:space="preserve">KALYAN JEWELLERS — HISTORICAL DATA (₹ Cr)</t>
  </si>
  <si>
    <t xml:space="preserve">Sales</t>
  </si>
  <si>
    <t xml:space="preserve">Reserves</t>
  </si>
  <si>
    <t xml:space="preserve">Current Market Price (₹)</t>
  </si>
  <si>
    <t xml:space="preserve">COMPARATIVE METRICS — FY2026</t>
  </si>
  <si>
    <t xml:space="preserve">Metric</t>
  </si>
  <si>
    <t xml:space="preserve">Titan</t>
  </si>
  <si>
    <t xml:space="preserve">Kalyan Jewellers</t>
  </si>
  <si>
    <t xml:space="preserve">Revenue (FY26, ₹ Cr)</t>
  </si>
  <si>
    <t xml:space="preserve">4-Yr Revenue CAGR (FY22-FY26)</t>
  </si>
  <si>
    <t xml:space="preserve">EBITDA (Operating Profit) Margin</t>
  </si>
  <si>
    <t xml:space="preserve">Market Capitalization (₹ Cr)</t>
  </si>
  <si>
    <t xml:space="preserve">P/E Ratio (Price / EPS)</t>
  </si>
  <si>
    <t xml:space="preserve">EV/EBITDA</t>
  </si>
  <si>
    <t xml:space="preserve">OBSERVATIONS</t>
  </si>
  <si>
    <t xml:space="preserve">1. Profitability: Titan converts revenue to profit more efficiently than Kalyan at every level — EBITDA margin (9.5% vs 7.2%) and net margin (5.8% vs 3.8%) are both wider, despite Titan being ~2.5x larger by revenue. This suggests scale and brand strength (multi-category: jewellery, watches, eyewear) give Titan real operating leverage that a single-category peer doesn't have.</t>
  </si>
  <si>
    <t xml:space="preserve">2. Growth: Kalyan actually grew slightly faster (34.8% vs 32.1% 4-yr CAGR), though both figures are inflated by the FY26 gold price rally across the sector, so this gap is not a reliable signal of who is winning market share on its own.</t>
  </si>
  <si>
    <t xml:space="preserve">3. Capital efficiency: Titan's ROE (32.3%) is meaningfully higher than Kalyan's (21.4%), reinforcing that Titan generates more profit per rupee of shareholder capital — a key reason it commands a valuation premium.</t>
  </si>
  <si>
    <t xml:space="preserve">4. Valuation: The market prices Titan at a large premium to Kalyan on every multiple — P/E 69.2x vs 44.6x, EV/EBITDA 45.4x vs 25.9x. Part of this premium is justified by Titan's superior margins and ROE, but the size of the gap (roughly 1.5-1.7x on both multiples) is wider than the margin/ROE gap alone would suggest, implying the market is also paying for Titan's brand moat and category diversification.</t>
  </si>
  <si>
    <t xml:space="preserve">5. Read together with the DCF: even Titan's premium over its closest peer looks rich against a standard 5-year DCF (implied price ~₹236 vs market price ~₹3,951). This points to one conclusion — Titan is a fundamentally stronger business than Kalyan, but at the current price, the market is pricing in a very long runway of continued margin expansion and growth that goes beyond what a base-case explicit forecast captures. This is a normal feature of high-quality "compounder" stocks, not a sign of a flawed model.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</si>
</sst>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&quot; Cr&quot;"/>
    <numFmt numFmtId="166" formatCode="0.0%"/>
    <numFmt numFmtId="167" formatCode="0.00\x"/>
    <numFmt numFmtId="168" formatCode="0.0\x"/>
    <numFmt numFmtId="169" formatCode="\₹#,##0"/>
    <numFmt numFmtId="170" formatCode="\₹#,##0.00"/>
    <numFmt numFmtId="171" formatCode="0"/>
    <numFmt numFmtId="172" formatCode="#,##0;\(#,##0\);\-"/>
    <numFmt numFmtId="173" formatCode="0.0&quot; days&quot;"/>
    <numFmt numFmtId="174" formatCode="0.000"/>
    <numFmt numFmtId="175" formatCode="0.00"/>
    <numFmt numFmtId="176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i val="true"/>
      <sz val="9"/>
      <color rgb="FF99999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0.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i val="true"/>
      <sz val="12"/>
      <color rgb="FF555555"/>
      <name val="Cambria"/>
      <family val="0"/>
      <charset val="1"/>
    </font>
    <font>
      <i val="true"/>
      <sz val="10"/>
      <color rgb="FF777777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8"/>
      <color rgb="FF777777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i val="true"/>
      <sz val="9"/>
      <color rgb="FF777777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sz val="1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/>
      <c r="D6" s="6"/>
      <c r="E6" s="6"/>
      <c r="F6" s="6"/>
      <c r="G6" s="6"/>
    </row>
    <row r="7" customFormat="false" ht="120" hidden="false" customHeight="true" outlineLevel="0" collapsed="false">
      <c r="B7" s="7" t="s">
        <v>4</v>
      </c>
      <c r="C7" s="7"/>
      <c r="D7" s="7"/>
      <c r="E7" s="7"/>
      <c r="F7" s="7"/>
      <c r="G7" s="7"/>
      <c r="H7" s="7"/>
      <c r="I7" s="7"/>
    </row>
    <row r="9" customFormat="false" ht="15" hidden="false" customHeight="true" outlineLevel="0" collapsed="false">
      <c r="B9" s="5" t="s">
        <v>5</v>
      </c>
      <c r="C9" s="6"/>
      <c r="D9" s="6"/>
      <c r="E9" s="6"/>
    </row>
    <row r="10" customFormat="false" ht="15" hidden="false" customHeight="true" outlineLevel="0" collapsed="false">
      <c r="B10" s="8" t="s">
        <v>6</v>
      </c>
      <c r="C10" s="9" t="n">
        <f aca="false">'Historical Financials'!$G$7</f>
        <v>87584</v>
      </c>
    </row>
    <row r="11" customFormat="false" ht="15" hidden="false" customHeight="true" outlineLevel="0" collapsed="false">
      <c r="B11" s="8" t="s">
        <v>7</v>
      </c>
      <c r="C11" s="10" t="n">
        <f aca="false">'Historical Financials'!$G$22/'Historical Financials'!$G$7</f>
        <v>0.0579215381804896</v>
      </c>
    </row>
    <row r="12" customFormat="false" ht="15" hidden="false" customHeight="true" outlineLevel="0" collapsed="false">
      <c r="B12" s="8" t="s">
        <v>8</v>
      </c>
      <c r="C12" s="10" t="n">
        <f aca="false">'Ratio Analysis'!$G$8</f>
        <v>0.323059288034134</v>
      </c>
    </row>
    <row r="13" customFormat="false" ht="15" hidden="false" customHeight="true" outlineLevel="0" collapsed="false">
      <c r="B13" s="8" t="s">
        <v>9</v>
      </c>
      <c r="C13" s="11" t="n">
        <f aca="false">'Ratio Analysis'!$G$10</f>
        <v>1.95000955231484</v>
      </c>
    </row>
    <row r="14" customFormat="false" ht="15" hidden="false" customHeight="true" outlineLevel="0" collapsed="false">
      <c r="B14" s="8" t="s">
        <v>10</v>
      </c>
      <c r="C14" s="12" t="n">
        <f aca="false">'Ratio Analysis'!$G$11</f>
        <v>7.4635593220339</v>
      </c>
    </row>
    <row r="15" customFormat="false" ht="15" hidden="false" customHeight="true" outlineLevel="0" collapsed="false">
      <c r="B15" s="8" t="s">
        <v>11</v>
      </c>
      <c r="C15" s="10" t="n">
        <f aca="false">'DCF Valuation'!$C$23</f>
        <v>0.108383885335309</v>
      </c>
    </row>
    <row r="16" customFormat="false" ht="15" hidden="false" customHeight="true" outlineLevel="0" collapsed="false">
      <c r="B16" s="8" t="s">
        <v>12</v>
      </c>
      <c r="C16" s="13" t="n">
        <f aca="false">'DCF Valuation'!$C$35</f>
        <v>235.639666880556</v>
      </c>
    </row>
    <row r="17" customFormat="false" ht="15" hidden="false" customHeight="true" outlineLevel="0" collapsed="false">
      <c r="B17" s="8" t="s">
        <v>13</v>
      </c>
      <c r="C17" s="13" t="n">
        <f aca="false">'Cover &amp; Assumptions'!$C$9</f>
        <v>3951.4</v>
      </c>
    </row>
    <row r="18" customFormat="false" ht="15" hidden="false" customHeight="true" outlineLevel="0" collapsed="false">
      <c r="B18" s="8" t="s">
        <v>14</v>
      </c>
      <c r="C18" s="10" t="n">
        <f aca="false">'DCF Valuation'!$C$37</f>
        <v>-0.940365524401337</v>
      </c>
    </row>
    <row r="20" customFormat="false" ht="15" hidden="false" customHeight="true" outlineLevel="0" collapsed="false">
      <c r="B20" s="5" t="s">
        <v>15</v>
      </c>
      <c r="C20" s="6"/>
      <c r="D20" s="6"/>
      <c r="E20" s="6"/>
      <c r="F20" s="6"/>
      <c r="G20" s="6"/>
    </row>
    <row r="21" customFormat="false" ht="90" hidden="false" customHeight="true" outlineLevel="0" collapsed="false">
      <c r="B21" s="7" t="s">
        <v>16</v>
      </c>
      <c r="C21" s="7"/>
      <c r="D21" s="7"/>
      <c r="E21" s="7"/>
      <c r="F21" s="7"/>
      <c r="G21" s="7"/>
      <c r="H21" s="7"/>
      <c r="I21" s="7"/>
    </row>
    <row r="22" customFormat="false" ht="90" hidden="false" customHeight="true" outlineLevel="0" collapsed="false">
      <c r="B22" s="7" t="s">
        <v>17</v>
      </c>
      <c r="C22" s="7"/>
      <c r="D22" s="7"/>
      <c r="E22" s="7"/>
      <c r="F22" s="7"/>
      <c r="G22" s="7"/>
      <c r="H22" s="7"/>
      <c r="I22" s="7"/>
    </row>
    <row r="23" customFormat="false" ht="120" hidden="false" customHeight="true" outlineLevel="0" collapsed="false">
      <c r="B23" s="7" t="s">
        <v>18</v>
      </c>
      <c r="C23" s="7"/>
      <c r="D23" s="7"/>
      <c r="E23" s="7"/>
      <c r="F23" s="7"/>
      <c r="G23" s="7"/>
      <c r="H23" s="7"/>
      <c r="I23" s="7"/>
    </row>
    <row r="24" customFormat="false" ht="120" hidden="false" customHeight="true" outlineLevel="0" collapsed="false">
      <c r="B24" s="7" t="s">
        <v>19</v>
      </c>
      <c r="C24" s="7"/>
      <c r="D24" s="7"/>
      <c r="E24" s="7"/>
      <c r="F24" s="7"/>
      <c r="G24" s="7"/>
      <c r="H24" s="7"/>
      <c r="I24" s="7"/>
    </row>
    <row r="26" customFormat="false" ht="15" hidden="false" customHeight="true" outlineLevel="0" collapsed="false">
      <c r="B26" s="5" t="s">
        <v>20</v>
      </c>
      <c r="C26" s="6"/>
      <c r="D26" s="6"/>
      <c r="E26" s="6"/>
      <c r="F26" s="6"/>
      <c r="G26" s="6"/>
    </row>
    <row r="27" customFormat="false" ht="15" hidden="false" customHeight="true" outlineLevel="0" collapsed="false">
      <c r="B27" s="8" t="s">
        <v>21</v>
      </c>
      <c r="C27" s="14" t="s">
        <v>22</v>
      </c>
    </row>
    <row r="28" customFormat="false" ht="15" hidden="false" customHeight="true" outlineLevel="0" collapsed="false">
      <c r="B28" s="8" t="s">
        <v>23</v>
      </c>
      <c r="C28" s="14" t="s">
        <v>24</v>
      </c>
    </row>
    <row r="29" customFormat="false" ht="15" hidden="false" customHeight="true" outlineLevel="0" collapsed="false">
      <c r="B29" s="8" t="s">
        <v>25</v>
      </c>
      <c r="C29" s="14" t="s">
        <v>26</v>
      </c>
    </row>
    <row r="30" customFormat="false" ht="15" hidden="false" customHeight="true" outlineLevel="0" collapsed="false">
      <c r="B30" s="8" t="s">
        <v>27</v>
      </c>
      <c r="C30" s="14" t="s">
        <v>28</v>
      </c>
    </row>
    <row r="31" customFormat="false" ht="15" hidden="false" customHeight="true" outlineLevel="0" collapsed="false">
      <c r="B31" s="8" t="s">
        <v>29</v>
      </c>
      <c r="C31" s="14" t="s">
        <v>30</v>
      </c>
    </row>
  </sheetData>
  <mergeCells count="5">
    <mergeCell ref="B7:I7"/>
    <mergeCell ref="B21:I21"/>
    <mergeCell ref="B22:I22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55"/>
    <col collapsed="false" customWidth="true" hidden="false" outlineLevel="0" max="4" min="4" style="1" width="70"/>
  </cols>
  <sheetData>
    <row r="2" customFormat="false" ht="21.75" hidden="false" customHeight="true" outlineLevel="0" collapsed="false">
      <c r="B2" s="15" t="s">
        <v>0</v>
      </c>
    </row>
    <row r="3" customFormat="false" ht="15" hidden="false" customHeight="true" outlineLevel="0" collapsed="false">
      <c r="B3" s="16" t="s">
        <v>31</v>
      </c>
    </row>
    <row r="5" customFormat="false" ht="15" hidden="false" customHeight="true" outlineLevel="0" collapsed="false">
      <c r="B5" s="17" t="s">
        <v>32</v>
      </c>
    </row>
    <row r="7" customFormat="false" ht="15" hidden="false" customHeight="true" outlineLevel="0" collapsed="false">
      <c r="B7" s="8" t="s">
        <v>33</v>
      </c>
      <c r="C7" s="1" t="s">
        <v>34</v>
      </c>
    </row>
    <row r="8" customFormat="false" ht="15" hidden="false" customHeight="true" outlineLevel="0" collapsed="false">
      <c r="B8" s="8" t="s">
        <v>35</v>
      </c>
      <c r="C8" s="1" t="s">
        <v>36</v>
      </c>
    </row>
    <row r="9" customFormat="false" ht="15" hidden="false" customHeight="true" outlineLevel="0" collapsed="false">
      <c r="B9" s="8" t="s">
        <v>37</v>
      </c>
      <c r="C9" s="18" t="n">
        <v>3951.4</v>
      </c>
    </row>
    <row r="10" customFormat="false" ht="15" hidden="false" customHeight="true" outlineLevel="0" collapsed="false">
      <c r="B10" s="8" t="s">
        <v>38</v>
      </c>
      <c r="C10" s="19" t="n">
        <v>88.78</v>
      </c>
    </row>
    <row r="13" customFormat="false" ht="15" hidden="false" customHeight="true" outlineLevel="0" collapsed="false">
      <c r="B13" s="5" t="s">
        <v>39</v>
      </c>
      <c r="C13" s="6"/>
    </row>
    <row r="14" customFormat="false" ht="15" hidden="false" customHeight="true" outlineLevel="0" collapsed="false">
      <c r="B14" s="1" t="s">
        <v>40</v>
      </c>
      <c r="C14" s="20" t="n">
        <v>0.068</v>
      </c>
    </row>
    <row r="15" customFormat="false" ht="15" hidden="false" customHeight="true" outlineLevel="0" collapsed="false">
      <c r="B15" s="1" t="s">
        <v>41</v>
      </c>
      <c r="C15" s="20" t="n">
        <v>0.06</v>
      </c>
    </row>
    <row r="16" customFormat="false" ht="15" hidden="false" customHeight="true" outlineLevel="0" collapsed="false">
      <c r="B16" s="1" t="s">
        <v>42</v>
      </c>
      <c r="C16" s="21" t="n">
        <v>0.75</v>
      </c>
    </row>
    <row r="17" customFormat="false" ht="15" hidden="false" customHeight="true" outlineLevel="0" collapsed="false">
      <c r="B17" s="1" t="s">
        <v>43</v>
      </c>
      <c r="C17" s="20" t="n">
        <v>0.075</v>
      </c>
    </row>
    <row r="18" customFormat="false" ht="15" hidden="false" customHeight="true" outlineLevel="0" collapsed="false">
      <c r="B18" s="1" t="s">
        <v>44</v>
      </c>
      <c r="C18" s="20" t="n">
        <v>0.26</v>
      </c>
    </row>
    <row r="19" customFormat="false" ht="15" hidden="false" customHeight="true" outlineLevel="0" collapsed="false">
      <c r="B19" s="1" t="s">
        <v>45</v>
      </c>
      <c r="C19" s="20" t="n">
        <v>0.045</v>
      </c>
    </row>
    <row r="20" customFormat="false" ht="15" hidden="false" customHeight="true" outlineLevel="0" collapsed="false">
      <c r="B20" s="1" t="s">
        <v>46</v>
      </c>
      <c r="C20" s="22" t="n">
        <v>5</v>
      </c>
    </row>
    <row r="22" customFormat="false" ht="15" hidden="false" customHeight="true" outlineLevel="0" collapsed="false">
      <c r="B22" s="23" t="s">
        <v>47</v>
      </c>
      <c r="C22" s="6"/>
    </row>
    <row r="23" customFormat="false" ht="15" hidden="false" customHeight="true" outlineLevel="0" collapsed="false">
      <c r="B23" s="1" t="s">
        <v>48</v>
      </c>
      <c r="C23" s="20" t="n">
        <v>0.15</v>
      </c>
      <c r="D23" s="24" t="s">
        <v>49</v>
      </c>
    </row>
    <row r="24" customFormat="false" ht="15" hidden="false" customHeight="true" outlineLevel="0" collapsed="false">
      <c r="B24" s="1" t="s">
        <v>50</v>
      </c>
      <c r="C24" s="20" t="n">
        <v>0.098</v>
      </c>
      <c r="D24" s="24" t="s">
        <v>51</v>
      </c>
    </row>
    <row r="25" customFormat="false" ht="15" hidden="false" customHeight="true" outlineLevel="0" collapsed="false">
      <c r="B25" s="1" t="s">
        <v>52</v>
      </c>
      <c r="C25" s="20" t="n">
        <v>0.011</v>
      </c>
      <c r="D25" s="24" t="s">
        <v>53</v>
      </c>
    </row>
    <row r="26" customFormat="false" ht="15" hidden="false" customHeight="true" outlineLevel="0" collapsed="false">
      <c r="B26" s="1" t="s">
        <v>54</v>
      </c>
      <c r="C26" s="20" t="n">
        <v>0.027</v>
      </c>
      <c r="D26" s="24" t="s">
        <v>55</v>
      </c>
    </row>
    <row r="27" customFormat="false" ht="15" hidden="false" customHeight="true" outlineLevel="0" collapsed="false">
      <c r="B27" s="1" t="s">
        <v>56</v>
      </c>
      <c r="C27" s="20" t="n">
        <v>0.2</v>
      </c>
      <c r="D27" s="2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3"/>
    <col collapsed="false" customWidth="true" hidden="false" outlineLevel="0" max="9" min="9" style="1" width="45"/>
  </cols>
  <sheetData>
    <row r="2" customFormat="false" ht="15.75" hidden="false" customHeight="true" outlineLevel="0" collapsed="false">
      <c r="B2" s="25" t="s">
        <v>58</v>
      </c>
    </row>
    <row r="3" customFormat="false" ht="15" hidden="false" customHeight="true" outlineLevel="0" collapsed="false">
      <c r="B3" s="26" t="s">
        <v>59</v>
      </c>
    </row>
    <row r="5" customFormat="false" ht="15" hidden="false" customHeight="true" outlineLevel="0" collapsed="false">
      <c r="B5" s="23" t="s">
        <v>60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27" t="s">
        <v>61</v>
      </c>
      <c r="C6" s="28" t="s">
        <v>62</v>
      </c>
      <c r="D6" s="28" t="s">
        <v>63</v>
      </c>
      <c r="E6" s="28" t="s">
        <v>64</v>
      </c>
      <c r="F6" s="28" t="s">
        <v>65</v>
      </c>
      <c r="G6" s="28" t="s">
        <v>66</v>
      </c>
    </row>
    <row r="7" customFormat="false" ht="15" hidden="false" customHeight="true" outlineLevel="0" collapsed="false">
      <c r="B7" s="29" t="s">
        <v>67</v>
      </c>
      <c r="C7" s="30" t="n">
        <v>28799</v>
      </c>
      <c r="D7" s="30" t="n">
        <v>40575</v>
      </c>
      <c r="E7" s="30" t="n">
        <v>51084</v>
      </c>
      <c r="F7" s="30" t="n">
        <v>60456</v>
      </c>
      <c r="G7" s="30" t="n">
        <v>87584</v>
      </c>
    </row>
    <row r="8" customFormat="false" ht="15" hidden="false" customHeight="true" outlineLevel="0" collapsed="false">
      <c r="B8" s="29" t="s">
        <v>68</v>
      </c>
      <c r="C8" s="30" t="n">
        <v>26436</v>
      </c>
      <c r="D8" s="30" t="n">
        <v>32589</v>
      </c>
      <c r="E8" s="30" t="n">
        <v>42103</v>
      </c>
      <c r="F8" s="30" t="n">
        <v>55271</v>
      </c>
      <c r="G8" s="30" t="n">
        <v>80243</v>
      </c>
    </row>
    <row r="9" customFormat="false" ht="15" hidden="false" customHeight="true" outlineLevel="0" collapsed="false">
      <c r="B9" s="29" t="s">
        <v>69</v>
      </c>
      <c r="C9" s="30" t="n">
        <v>4795</v>
      </c>
      <c r="D9" s="30" t="n">
        <v>2234</v>
      </c>
      <c r="E9" s="30" t="n">
        <v>2671</v>
      </c>
      <c r="F9" s="30" t="n">
        <v>7815</v>
      </c>
      <c r="G9" s="30" t="n">
        <v>9936</v>
      </c>
    </row>
    <row r="10" customFormat="false" ht="15" hidden="false" customHeight="true" outlineLevel="0" collapsed="false">
      <c r="B10" s="29" t="s">
        <v>70</v>
      </c>
      <c r="C10" s="30" t="n">
        <v>45</v>
      </c>
      <c r="D10" s="30" t="n">
        <v>59</v>
      </c>
      <c r="E10" s="30" t="n">
        <v>71</v>
      </c>
      <c r="F10" s="30" t="n">
        <v>78</v>
      </c>
      <c r="G10" s="30" t="n">
        <v>87</v>
      </c>
    </row>
    <row r="11" customFormat="false" ht="15" hidden="false" customHeight="true" outlineLevel="0" collapsed="false">
      <c r="B11" s="29" t="s">
        <v>71</v>
      </c>
      <c r="C11" s="30" t="n">
        <v>183</v>
      </c>
      <c r="D11" s="30" t="n">
        <v>225</v>
      </c>
      <c r="E11" s="30" t="n">
        <v>286</v>
      </c>
      <c r="F11" s="30" t="n">
        <v>326</v>
      </c>
      <c r="G11" s="30" t="n">
        <v>375</v>
      </c>
    </row>
    <row r="12" customFormat="false" ht="15" hidden="false" customHeight="true" outlineLevel="0" collapsed="false">
      <c r="B12" s="29" t="s">
        <v>72</v>
      </c>
      <c r="C12" s="30" t="n">
        <v>1356</v>
      </c>
      <c r="D12" s="30" t="n">
        <v>1656</v>
      </c>
      <c r="E12" s="30" t="n">
        <v>1875</v>
      </c>
      <c r="F12" s="30" t="n">
        <v>2164</v>
      </c>
      <c r="G12" s="30" t="n">
        <v>2692</v>
      </c>
    </row>
    <row r="13" customFormat="false" ht="15" hidden="false" customHeight="true" outlineLevel="0" collapsed="false">
      <c r="B13" s="29" t="s">
        <v>73</v>
      </c>
      <c r="C13" s="30" t="n">
        <v>1697</v>
      </c>
      <c r="D13" s="30" t="n">
        <v>2715</v>
      </c>
      <c r="E13" s="30" t="n">
        <v>3249</v>
      </c>
      <c r="F13" s="30" t="n">
        <v>3494</v>
      </c>
      <c r="G13" s="30" t="n">
        <v>4185</v>
      </c>
    </row>
    <row r="14" customFormat="false" ht="15" hidden="false" customHeight="true" outlineLevel="0" collapsed="false">
      <c r="B14" s="29" t="s">
        <v>74</v>
      </c>
      <c r="C14" s="30" t="n">
        <v>533</v>
      </c>
      <c r="D14" s="30" t="n">
        <v>683</v>
      </c>
      <c r="E14" s="30" t="n">
        <v>879</v>
      </c>
      <c r="F14" s="30" t="n">
        <v>1244</v>
      </c>
      <c r="G14" s="30" t="n">
        <v>1581</v>
      </c>
      <c r="I14" s="24" t="s">
        <v>75</v>
      </c>
    </row>
    <row r="15" customFormat="false" ht="15" hidden="false" customHeight="true" outlineLevel="0" collapsed="false">
      <c r="B15" s="29" t="s">
        <v>76</v>
      </c>
      <c r="C15" s="30" t="n">
        <v>177</v>
      </c>
      <c r="D15" s="30" t="n">
        <v>306</v>
      </c>
      <c r="E15" s="30" t="n">
        <v>534</v>
      </c>
      <c r="F15" s="30" t="n">
        <v>487</v>
      </c>
      <c r="G15" s="30" t="n">
        <v>450</v>
      </c>
    </row>
    <row r="16" customFormat="false" ht="15" hidden="false" customHeight="true" outlineLevel="0" collapsed="false">
      <c r="B16" s="29" t="s">
        <v>77</v>
      </c>
      <c r="C16" s="30" t="n">
        <v>399</v>
      </c>
      <c r="D16" s="30" t="n">
        <v>441</v>
      </c>
      <c r="E16" s="30" t="n">
        <v>584</v>
      </c>
      <c r="F16" s="30" t="n">
        <v>693</v>
      </c>
      <c r="G16" s="30" t="n">
        <v>826</v>
      </c>
    </row>
    <row r="17" customFormat="false" ht="15" hidden="false" customHeight="true" outlineLevel="0" collapsed="false">
      <c r="B17" s="29" t="s">
        <v>78</v>
      </c>
      <c r="C17" s="30" t="n">
        <v>218</v>
      </c>
      <c r="D17" s="30" t="n">
        <v>300</v>
      </c>
      <c r="E17" s="30" t="n">
        <v>619</v>
      </c>
      <c r="F17" s="30" t="n">
        <v>953</v>
      </c>
      <c r="G17" s="30" t="n">
        <v>1180</v>
      </c>
    </row>
    <row r="18" customFormat="false" ht="15" hidden="false" customHeight="true" outlineLevel="0" collapsed="false">
      <c r="B18" s="31" t="s">
        <v>79</v>
      </c>
      <c r="C18" s="32" t="n">
        <v>2904</v>
      </c>
      <c r="D18" s="32" t="n">
        <v>4447</v>
      </c>
      <c r="E18" s="32" t="n">
        <v>4623</v>
      </c>
      <c r="F18" s="32" t="n">
        <v>4535</v>
      </c>
      <c r="G18" s="32" t="n">
        <v>6801</v>
      </c>
      <c r="I18" s="24" t="s">
        <v>80</v>
      </c>
    </row>
    <row r="19" customFormat="false" ht="15" hidden="false" customHeight="true" outlineLevel="0" collapsed="false">
      <c r="B19" s="31" t="s">
        <v>81</v>
      </c>
      <c r="C19" s="32" t="n">
        <f aca="false">C18-C15+C16+C17</f>
        <v>3344</v>
      </c>
      <c r="D19" s="32" t="n">
        <f aca="false">D18-D15+D16+D17</f>
        <v>4882</v>
      </c>
      <c r="E19" s="32" t="n">
        <f aca="false">E18-E15+E16+E17</f>
        <v>5292</v>
      </c>
      <c r="F19" s="32" t="n">
        <f aca="false">F18-F15+F16+F17</f>
        <v>5694</v>
      </c>
      <c r="G19" s="32" t="n">
        <f aca="false">G18-G15+G16+G17</f>
        <v>8357</v>
      </c>
      <c r="I19" s="24" t="s">
        <v>82</v>
      </c>
    </row>
    <row r="20" customFormat="false" ht="15" hidden="false" customHeight="true" outlineLevel="0" collapsed="false">
      <c r="B20" s="31" t="s">
        <v>83</v>
      </c>
      <c r="C20" s="32" t="n">
        <f aca="false">C7-C19</f>
        <v>25455</v>
      </c>
      <c r="D20" s="32" t="n">
        <f aca="false">D7-D19</f>
        <v>35693</v>
      </c>
      <c r="E20" s="32" t="n">
        <f aca="false">E7-E19</f>
        <v>45792</v>
      </c>
      <c r="F20" s="32" t="n">
        <f aca="false">F7-F19</f>
        <v>54762</v>
      </c>
      <c r="G20" s="32" t="n">
        <f aca="false">G7-G19</f>
        <v>79227</v>
      </c>
      <c r="I20" s="24" t="s">
        <v>84</v>
      </c>
    </row>
    <row r="21" customFormat="false" ht="15" hidden="false" customHeight="true" outlineLevel="0" collapsed="false">
      <c r="B21" s="29" t="s">
        <v>85</v>
      </c>
      <c r="C21" s="30" t="n">
        <v>706</v>
      </c>
      <c r="D21" s="30" t="n">
        <v>1173</v>
      </c>
      <c r="E21" s="30" t="n">
        <v>1127</v>
      </c>
      <c r="F21" s="30" t="n">
        <v>1198</v>
      </c>
      <c r="G21" s="30" t="n">
        <v>1728</v>
      </c>
    </row>
    <row r="22" customFormat="false" ht="15" hidden="false" customHeight="true" outlineLevel="0" collapsed="false">
      <c r="B22" s="31" t="s">
        <v>86</v>
      </c>
      <c r="C22" s="32" t="n">
        <f aca="false">C18-C21</f>
        <v>2198</v>
      </c>
      <c r="D22" s="32" t="n">
        <f aca="false">D18-D21</f>
        <v>3274</v>
      </c>
      <c r="E22" s="32" t="n">
        <f aca="false">E18-E21</f>
        <v>3496</v>
      </c>
      <c r="F22" s="32" t="n">
        <f aca="false">F18-F21</f>
        <v>3337</v>
      </c>
      <c r="G22" s="32" t="n">
        <f aca="false">G18-G21</f>
        <v>5073</v>
      </c>
    </row>
    <row r="24" customFormat="false" ht="15" hidden="false" customHeight="true" outlineLevel="0" collapsed="false">
      <c r="B24" s="23" t="s">
        <v>87</v>
      </c>
      <c r="C24" s="6"/>
      <c r="D24" s="6"/>
      <c r="E24" s="6"/>
      <c r="F24" s="6"/>
      <c r="G24" s="6"/>
    </row>
    <row r="25" customFormat="false" ht="15" hidden="false" customHeight="true" outlineLevel="0" collapsed="false">
      <c r="B25" s="27" t="s">
        <v>61</v>
      </c>
      <c r="C25" s="28" t="s">
        <v>62</v>
      </c>
      <c r="D25" s="28" t="s">
        <v>63</v>
      </c>
      <c r="E25" s="28" t="s">
        <v>64</v>
      </c>
      <c r="F25" s="28" t="s">
        <v>65</v>
      </c>
      <c r="G25" s="28" t="s">
        <v>66</v>
      </c>
    </row>
    <row r="26" customFormat="false" ht="15" hidden="false" customHeight="true" outlineLevel="0" collapsed="false">
      <c r="B26" s="29" t="s">
        <v>88</v>
      </c>
      <c r="C26" s="30" t="n">
        <v>89</v>
      </c>
      <c r="D26" s="30" t="n">
        <v>89</v>
      </c>
      <c r="E26" s="30" t="n">
        <v>89</v>
      </c>
      <c r="F26" s="30" t="n">
        <v>89</v>
      </c>
      <c r="G26" s="30" t="n">
        <v>89</v>
      </c>
    </row>
    <row r="27" customFormat="false" ht="15" hidden="false" customHeight="true" outlineLevel="0" collapsed="false">
      <c r="B27" s="29" t="s">
        <v>89</v>
      </c>
      <c r="C27" s="30" t="n">
        <v>9214</v>
      </c>
      <c r="D27" s="30" t="n">
        <v>11762</v>
      </c>
      <c r="E27" s="30" t="n">
        <v>9304</v>
      </c>
      <c r="F27" s="30" t="n">
        <v>11535</v>
      </c>
      <c r="G27" s="30" t="n">
        <v>15614</v>
      </c>
    </row>
    <row r="28" customFormat="false" ht="15" hidden="false" customHeight="true" outlineLevel="0" collapsed="false">
      <c r="B28" s="29" t="s">
        <v>90</v>
      </c>
      <c r="C28" s="30" t="n">
        <v>7275</v>
      </c>
      <c r="D28" s="30" t="n">
        <v>9367</v>
      </c>
      <c r="E28" s="30" t="n">
        <v>15528</v>
      </c>
      <c r="F28" s="30" t="n">
        <v>20777</v>
      </c>
      <c r="G28" s="30" t="n">
        <v>30621</v>
      </c>
    </row>
    <row r="29" customFormat="false" ht="15" hidden="false" customHeight="true" outlineLevel="0" collapsed="false">
      <c r="B29" s="29" t="s">
        <v>91</v>
      </c>
      <c r="C29" s="30" t="n">
        <v>4610</v>
      </c>
      <c r="D29" s="30" t="n">
        <v>5802</v>
      </c>
      <c r="E29" s="30" t="n">
        <v>6626</v>
      </c>
      <c r="F29" s="30" t="n">
        <v>8244</v>
      </c>
      <c r="G29" s="30" t="n">
        <v>14237</v>
      </c>
    </row>
    <row r="30" customFormat="false" ht="15" hidden="false" customHeight="true" outlineLevel="0" collapsed="false">
      <c r="B30" s="31" t="s">
        <v>92</v>
      </c>
      <c r="C30" s="32" t="n">
        <f aca="false">C26+C27+C28+C29</f>
        <v>21188</v>
      </c>
      <c r="D30" s="32" t="n">
        <f aca="false">D26+D27+D28+D29</f>
        <v>27020</v>
      </c>
      <c r="E30" s="32" t="n">
        <f aca="false">E26+E27+E28+E29</f>
        <v>31547</v>
      </c>
      <c r="F30" s="32" t="n">
        <f aca="false">F26+F27+F28+F29</f>
        <v>40645</v>
      </c>
      <c r="G30" s="32" t="n">
        <f aca="false">G26+G27+G28+G29</f>
        <v>60561</v>
      </c>
    </row>
    <row r="31" customFormat="false" ht="15" hidden="false" customHeight="true" outlineLevel="0" collapsed="false">
      <c r="B31" s="29" t="s">
        <v>93</v>
      </c>
      <c r="C31" s="30" t="n">
        <v>2544</v>
      </c>
      <c r="D31" s="30" t="n">
        <v>2998</v>
      </c>
      <c r="E31" s="30" t="n">
        <v>3709</v>
      </c>
      <c r="F31" s="30" t="n">
        <v>4062</v>
      </c>
      <c r="G31" s="30" t="n">
        <v>6878</v>
      </c>
    </row>
    <row r="32" customFormat="false" ht="15" hidden="false" customHeight="true" outlineLevel="0" collapsed="false">
      <c r="B32" s="29" t="s">
        <v>94</v>
      </c>
      <c r="C32" s="30" t="n">
        <v>85</v>
      </c>
      <c r="D32" s="30" t="n">
        <v>144</v>
      </c>
      <c r="E32" s="30" t="n">
        <v>97</v>
      </c>
      <c r="F32" s="30" t="n">
        <v>105</v>
      </c>
      <c r="G32" s="30" t="n">
        <v>163</v>
      </c>
    </row>
    <row r="33" customFormat="false" ht="15" hidden="false" customHeight="true" outlineLevel="0" collapsed="false">
      <c r="B33" s="29" t="s">
        <v>95</v>
      </c>
      <c r="C33" s="30" t="n">
        <v>294</v>
      </c>
      <c r="D33" s="30" t="n">
        <v>2515</v>
      </c>
      <c r="E33" s="30" t="n">
        <v>2345</v>
      </c>
      <c r="F33" s="30" t="n">
        <v>1988</v>
      </c>
      <c r="G33" s="30" t="n">
        <v>3506</v>
      </c>
    </row>
    <row r="34" customFormat="false" ht="15" hidden="false" customHeight="true" outlineLevel="0" collapsed="false">
      <c r="B34" s="29" t="s">
        <v>96</v>
      </c>
      <c r="C34" s="30" t="n">
        <v>18265</v>
      </c>
      <c r="D34" s="30" t="n">
        <v>21363</v>
      </c>
      <c r="E34" s="30" t="n">
        <v>25396</v>
      </c>
      <c r="F34" s="30" t="n">
        <v>34490</v>
      </c>
      <c r="G34" s="30" t="n">
        <v>50014</v>
      </c>
    </row>
    <row r="35" customFormat="false" ht="15" hidden="false" customHeight="true" outlineLevel="0" collapsed="false">
      <c r="B35" s="31" t="s">
        <v>97</v>
      </c>
      <c r="C35" s="32" t="n">
        <f aca="false">C31+C32+C33+C34</f>
        <v>21188</v>
      </c>
      <c r="D35" s="32" t="n">
        <f aca="false">D31+D32+D33+D34</f>
        <v>27020</v>
      </c>
      <c r="E35" s="32" t="n">
        <f aca="false">E31+E32+E33+E34</f>
        <v>31547</v>
      </c>
      <c r="F35" s="32" t="n">
        <f aca="false">F31+F32+F33+F34</f>
        <v>40645</v>
      </c>
      <c r="G35" s="32" t="n">
        <f aca="false">G31+G32+G33+G34</f>
        <v>60561</v>
      </c>
    </row>
    <row r="36" customFormat="false" ht="15" hidden="false" customHeight="true" outlineLevel="0" collapsed="false">
      <c r="B36" s="33" t="s">
        <v>98</v>
      </c>
      <c r="C36" s="34" t="n">
        <f aca="false">C35-C30</f>
        <v>0</v>
      </c>
      <c r="D36" s="34" t="n">
        <f aca="false">D35-D30</f>
        <v>0</v>
      </c>
      <c r="E36" s="34" t="n">
        <f aca="false">E35-E30</f>
        <v>0</v>
      </c>
      <c r="F36" s="34" t="n">
        <f aca="false">F35-F30</f>
        <v>0</v>
      </c>
      <c r="G36" s="34" t="n">
        <f aca="false">G35-G30</f>
        <v>0</v>
      </c>
    </row>
    <row r="38" customFormat="false" ht="15" hidden="false" customHeight="true" outlineLevel="0" collapsed="false">
      <c r="B38" s="29" t="s">
        <v>99</v>
      </c>
      <c r="C38" s="30" t="n">
        <v>565</v>
      </c>
      <c r="D38" s="30" t="n">
        <v>674</v>
      </c>
      <c r="E38" s="30" t="n">
        <v>1018</v>
      </c>
      <c r="F38" s="30" t="n">
        <v>1068</v>
      </c>
      <c r="G38" s="30" t="n">
        <v>916</v>
      </c>
    </row>
    <row r="39" customFormat="false" ht="15" hidden="false" customHeight="true" outlineLevel="0" collapsed="false">
      <c r="B39" s="29" t="s">
        <v>100</v>
      </c>
      <c r="C39" s="30" t="n">
        <v>13609</v>
      </c>
      <c r="D39" s="30" t="n">
        <v>16584</v>
      </c>
      <c r="E39" s="30" t="n">
        <v>19051</v>
      </c>
      <c r="F39" s="30" t="n">
        <v>28184</v>
      </c>
      <c r="G39" s="30" t="n">
        <v>42743</v>
      </c>
    </row>
    <row r="40" customFormat="false" ht="15" hidden="false" customHeight="true" outlineLevel="0" collapsed="false">
      <c r="B40" s="29" t="s">
        <v>101</v>
      </c>
      <c r="C40" s="30" t="n">
        <v>1573</v>
      </c>
      <c r="D40" s="30" t="n">
        <v>1343</v>
      </c>
      <c r="E40" s="30" t="n">
        <v>1526</v>
      </c>
      <c r="F40" s="30" t="n">
        <v>1584</v>
      </c>
      <c r="G40" s="30" t="n">
        <v>1917</v>
      </c>
    </row>
    <row r="42" customFormat="false" ht="15" hidden="false" customHeight="true" outlineLevel="0" collapsed="false">
      <c r="B42" s="23" t="s">
        <v>102</v>
      </c>
      <c r="C42" s="6"/>
      <c r="D42" s="6"/>
      <c r="E42" s="6"/>
      <c r="F42" s="6"/>
      <c r="G42" s="6"/>
    </row>
    <row r="43" customFormat="false" ht="15" hidden="false" customHeight="true" outlineLevel="0" collapsed="false">
      <c r="B43" s="27" t="s">
        <v>61</v>
      </c>
      <c r="C43" s="28" t="s">
        <v>62</v>
      </c>
      <c r="D43" s="28" t="s">
        <v>63</v>
      </c>
      <c r="E43" s="28" t="s">
        <v>64</v>
      </c>
      <c r="F43" s="28" t="s">
        <v>65</v>
      </c>
      <c r="G43" s="28" t="s">
        <v>66</v>
      </c>
    </row>
    <row r="44" customFormat="false" ht="15" hidden="false" customHeight="true" outlineLevel="0" collapsed="false">
      <c r="B44" s="29" t="s">
        <v>103</v>
      </c>
      <c r="C44" s="30" t="n">
        <v>-724</v>
      </c>
      <c r="D44" s="30" t="n">
        <v>1370</v>
      </c>
      <c r="E44" s="30" t="n">
        <v>1695</v>
      </c>
      <c r="F44" s="30" t="n">
        <v>-541</v>
      </c>
      <c r="G44" s="30" t="n">
        <v>5590</v>
      </c>
    </row>
    <row r="45" customFormat="false" ht="15" hidden="false" customHeight="true" outlineLevel="0" collapsed="false">
      <c r="B45" s="29" t="s">
        <v>104</v>
      </c>
      <c r="C45" s="30" t="n">
        <v>1165</v>
      </c>
      <c r="D45" s="30" t="n">
        <v>-1814</v>
      </c>
      <c r="E45" s="30" t="n">
        <v>-189</v>
      </c>
      <c r="F45" s="30" t="n">
        <v>546</v>
      </c>
      <c r="G45" s="30" t="n">
        <v>-2965</v>
      </c>
    </row>
    <row r="46" customFormat="false" ht="15" hidden="false" customHeight="true" outlineLevel="0" collapsed="false">
      <c r="B46" s="29" t="s">
        <v>105</v>
      </c>
      <c r="C46" s="30" t="n">
        <v>-403</v>
      </c>
      <c r="D46" s="30" t="n">
        <v>457</v>
      </c>
      <c r="E46" s="30" t="n">
        <v>-1329</v>
      </c>
      <c r="F46" s="30" t="n">
        <v>-7</v>
      </c>
      <c r="G46" s="30" t="n">
        <v>-2159</v>
      </c>
    </row>
    <row r="47" customFormat="false" ht="15" hidden="false" customHeight="true" outlineLevel="0" collapsed="false">
      <c r="B47" s="31" t="s">
        <v>106</v>
      </c>
      <c r="C47" s="32" t="n">
        <f aca="false">C44+C45+C46</f>
        <v>38</v>
      </c>
      <c r="D47" s="32" t="n">
        <f aca="false">D44+D45+D46</f>
        <v>13</v>
      </c>
      <c r="E47" s="32" t="n">
        <f aca="false">E44+E45+E46</f>
        <v>177</v>
      </c>
      <c r="F47" s="32" t="n">
        <f aca="false">F44+F45+F46</f>
        <v>-2</v>
      </c>
      <c r="G47" s="32" t="n">
        <f aca="false">G44+G45+G46</f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2"/>
    <col collapsed="false" customWidth="true" hidden="false" outlineLevel="0" max="9" min="9" style="1" width="38"/>
  </cols>
  <sheetData>
    <row r="2" customFormat="false" ht="15.75" hidden="false" customHeight="true" outlineLevel="0" collapsed="false">
      <c r="B2" s="25" t="s">
        <v>107</v>
      </c>
    </row>
    <row r="3" customFormat="false" ht="15" hidden="false" customHeight="true" outlineLevel="0" collapsed="false">
      <c r="B3" s="26" t="s">
        <v>108</v>
      </c>
    </row>
    <row r="5" customFormat="false" ht="15" hidden="false" customHeight="true" outlineLevel="0" collapsed="false">
      <c r="B5" s="23" t="s">
        <v>109</v>
      </c>
      <c r="C5" s="35" t="s">
        <v>62</v>
      </c>
      <c r="D5" s="35" t="s">
        <v>63</v>
      </c>
      <c r="E5" s="35" t="s">
        <v>64</v>
      </c>
      <c r="F5" s="35" t="s">
        <v>65</v>
      </c>
      <c r="G5" s="35" t="s">
        <v>66</v>
      </c>
      <c r="I5" s="23" t="s">
        <v>110</v>
      </c>
    </row>
    <row r="6" customFormat="false" ht="15" hidden="false" customHeight="true" outlineLevel="0" collapsed="false">
      <c r="B6" s="29" t="s">
        <v>111</v>
      </c>
      <c r="C6" s="36" t="n">
        <f aca="false">'Historical Financials'!C19/'Historical Financials'!C7</f>
        <v>0.116115142886906</v>
      </c>
      <c r="D6" s="36" t="n">
        <f aca="false">'Historical Financials'!D19/'Historical Financials'!D7</f>
        <v>0.120320394331485</v>
      </c>
      <c r="E6" s="36" t="n">
        <f aca="false">'Historical Financials'!E19/'Historical Financials'!E7</f>
        <v>0.103594080338266</v>
      </c>
      <c r="F6" s="36" t="n">
        <f aca="false">'Historical Financials'!F19/'Historical Financials'!F7</f>
        <v>0.0941842000793966</v>
      </c>
      <c r="G6" s="36" t="n">
        <f aca="false">'Historical Financials'!G19/'Historical Financials'!G7</f>
        <v>0.0954169711362806</v>
      </c>
      <c r="I6" s="37" t="str">
        <f aca="false">IF(C6&lt;F6,"Margin compressing — investigate cost drivers","Stable/improving")</f>
        <v>Stable/improving</v>
      </c>
    </row>
    <row r="7" customFormat="false" ht="15" hidden="false" customHeight="true" outlineLevel="0" collapsed="false">
      <c r="B7" s="29" t="s">
        <v>7</v>
      </c>
      <c r="C7" s="36" t="n">
        <f aca="false">'Historical Financials'!C22/'Historical Financials'!C7</f>
        <v>0.0763220945171707</v>
      </c>
      <c r="D7" s="36" t="n">
        <f aca="false">'Historical Financials'!D22/'Historical Financials'!D7</f>
        <v>0.0806900800985829</v>
      </c>
      <c r="E7" s="36" t="n">
        <f aca="false">'Historical Financials'!E22/'Historical Financials'!E7</f>
        <v>0.0684363009944405</v>
      </c>
      <c r="F7" s="36" t="n">
        <f aca="false">'Historical Financials'!F22/'Historical Financials'!F7</f>
        <v>0.0551971681884346</v>
      </c>
      <c r="G7" s="36" t="n">
        <f aca="false">'Historical Financials'!G22/'Historical Financials'!G7</f>
        <v>0.0579215381804896</v>
      </c>
    </row>
    <row r="8" customFormat="false" ht="15" hidden="false" customHeight="true" outlineLevel="0" collapsed="false">
      <c r="B8" s="29" t="s">
        <v>8</v>
      </c>
      <c r="C8" s="36" t="n">
        <f aca="false">'Historical Financials'!C22/('Historical Financials'!C26+'Historical Financials'!C27)</f>
        <v>0.236267870579383</v>
      </c>
      <c r="D8" s="36" t="n">
        <f aca="false">'Historical Financials'!D22/('Historical Financials'!D26+'Historical Financials'!D27)</f>
        <v>0.276263606446713</v>
      </c>
      <c r="E8" s="36" t="n">
        <f aca="false">'Historical Financials'!E22/('Historical Financials'!E26+'Historical Financials'!E27)</f>
        <v>0.372192057915469</v>
      </c>
      <c r="F8" s="36" t="n">
        <f aca="false">'Historical Financials'!F22/('Historical Financials'!F26+'Historical Financials'!F27)</f>
        <v>0.28707845836201</v>
      </c>
      <c r="G8" s="36" t="n">
        <f aca="false">'Historical Financials'!G22/('Historical Financials'!G26+'Historical Financials'!G27)</f>
        <v>0.323059288034134</v>
      </c>
    </row>
    <row r="9" customFormat="false" ht="15" hidden="false" customHeight="true" outlineLevel="0" collapsed="false">
      <c r="B9" s="29" t="s">
        <v>112</v>
      </c>
      <c r="C9" s="36" t="n">
        <f aca="false">'Historical Financials'!C19/('Historical Financials'!C26+'Historical Financials'!C27+'Historical Financials'!C28)</f>
        <v>0.201713113765231</v>
      </c>
      <c r="D9" s="36" t="n">
        <f aca="false">'Historical Financials'!D19/('Historical Financials'!D26+'Historical Financials'!D27+'Historical Financials'!D28)</f>
        <v>0.230087661419549</v>
      </c>
      <c r="E9" s="36" t="n">
        <f aca="false">'Historical Financials'!E19/('Historical Financials'!E26+'Historical Financials'!E27+'Historical Financials'!E28)</f>
        <v>0.212351029252438</v>
      </c>
      <c r="F9" s="36" t="n">
        <f aca="false">'Historical Financials'!F19/('Historical Financials'!F26+'Historical Financials'!F27+'Historical Financials'!F28)</f>
        <v>0.17573531681121</v>
      </c>
      <c r="G9" s="36" t="n">
        <f aca="false">'Historical Financials'!G19/('Historical Financials'!G26+'Historical Financials'!G27+'Historical Financials'!G28)</f>
        <v>0.180403246697176</v>
      </c>
    </row>
    <row r="10" customFormat="false" ht="15" hidden="false" customHeight="true" outlineLevel="0" collapsed="false">
      <c r="B10" s="29" t="s">
        <v>113</v>
      </c>
      <c r="C10" s="38" t="n">
        <f aca="false">'Historical Financials'!C28/('Historical Financials'!C26+'Historical Financials'!C27)</f>
        <v>0.782005804579168</v>
      </c>
      <c r="D10" s="38" t="n">
        <f aca="false">'Historical Financials'!D28/('Historical Financials'!D26+'Historical Financials'!D27)</f>
        <v>0.790397434815627</v>
      </c>
      <c r="E10" s="38" t="n">
        <f aca="false">'Historical Financials'!E28/('Historical Financials'!E26+'Historical Financials'!E27)</f>
        <v>1.65314595975727</v>
      </c>
      <c r="F10" s="38" t="n">
        <f aca="false">'Historical Financials'!F28/('Historical Financials'!F26+'Historical Financials'!F27)</f>
        <v>1.78742257398486</v>
      </c>
      <c r="G10" s="38" t="n">
        <f aca="false">'Historical Financials'!G28/('Historical Financials'!G26+'Historical Financials'!G27)</f>
        <v>1.95000955231484</v>
      </c>
      <c r="I10" s="37" t="str">
        <f aca="false">IF(G9&gt;C9*1.3,"Leverage rising materially — flag for review","Within normal range")</f>
        <v>Within normal range</v>
      </c>
    </row>
    <row r="11" customFormat="false" ht="15" hidden="false" customHeight="true" outlineLevel="0" collapsed="false">
      <c r="B11" s="29" t="s">
        <v>10</v>
      </c>
      <c r="C11" s="38" t="n">
        <f aca="false">('Historical Financials'!C19+'Historical Financials'!C15)/'Historical Financials'!C17</f>
        <v>16.151376146789</v>
      </c>
      <c r="D11" s="38" t="n">
        <f aca="false">('Historical Financials'!D19+'Historical Financials'!D15)/'Historical Financials'!D17</f>
        <v>17.2933333333333</v>
      </c>
      <c r="E11" s="38" t="n">
        <f aca="false">('Historical Financials'!E19+'Historical Financials'!E15)/'Historical Financials'!E17</f>
        <v>9.41195476575121</v>
      </c>
      <c r="F11" s="38" t="n">
        <f aca="false">('Historical Financials'!F19+'Historical Financials'!F15)/'Historical Financials'!F17</f>
        <v>6.48583420776495</v>
      </c>
      <c r="G11" s="38" t="n">
        <f aca="false">('Historical Financials'!G19+'Historical Financials'!G15)/'Historical Financials'!G17</f>
        <v>7.4635593220339</v>
      </c>
      <c r="I11" s="37" t="str">
        <f aca="false">IF(G10&lt;C10*0.7,"Coverage weakening — debt servicing risk","Adequate coverage")</f>
        <v>Adequate coverage</v>
      </c>
    </row>
    <row r="12" customFormat="false" ht="15" hidden="false" customHeight="true" outlineLevel="0" collapsed="false">
      <c r="B12" s="29" t="s">
        <v>114</v>
      </c>
      <c r="C12" s="39" t="n">
        <f aca="false">'Historical Financials'!C39/'Historical Financials'!C7*365</f>
        <v>172.481162540366</v>
      </c>
      <c r="D12" s="39" t="n">
        <f aca="false">'Historical Financials'!D39/'Historical Financials'!D7*365</f>
        <v>149.184473197782</v>
      </c>
      <c r="E12" s="39" t="n">
        <f aca="false">'Historical Financials'!E39/'Historical Financials'!E7*365</f>
        <v>136.121192545611</v>
      </c>
      <c r="F12" s="39" t="n">
        <f aca="false">'Historical Financials'!F39/'Historical Financials'!F7*365</f>
        <v>170.15945481011</v>
      </c>
      <c r="G12" s="39" t="n">
        <f aca="false">'Historical Financials'!G39/'Historical Financials'!G7*365</f>
        <v>178.128368195104</v>
      </c>
      <c r="I12" s="37" t="str">
        <f aca="false">IF(G11&gt;C11*1.2,"Inventory building up faster than sales — investigate","Stable turnover")</f>
        <v>Stable turnover</v>
      </c>
    </row>
    <row r="13" customFormat="false" ht="15" hidden="false" customHeight="true" outlineLevel="0" collapsed="false">
      <c r="B13" s="29" t="s">
        <v>115</v>
      </c>
      <c r="C13" s="39" t="n">
        <f aca="false">'Historical Financials'!C38/'Historical Financials'!C7*365</f>
        <v>7.16083891801799</v>
      </c>
      <c r="D13" s="39" t="n">
        <f aca="false">'Historical Financials'!D38/'Historical Financials'!D7*365</f>
        <v>6.06309303758472</v>
      </c>
      <c r="E13" s="39" t="n">
        <f aca="false">'Historical Financials'!E38/'Historical Financials'!E7*365</f>
        <v>7.27370605277582</v>
      </c>
      <c r="F13" s="39" t="n">
        <f aca="false">'Historical Financials'!F38/'Historical Financials'!F7*365</f>
        <v>6.44799523620484</v>
      </c>
      <c r="G13" s="39" t="n">
        <f aca="false">'Historical Financials'!G38/'Historical Financials'!G7*365</f>
        <v>3.81736390208257</v>
      </c>
    </row>
    <row r="14" customFormat="false" ht="15" hidden="false" customHeight="true" outlineLevel="0" collapsed="false">
      <c r="B14" s="29" t="s">
        <v>116</v>
      </c>
      <c r="C14" s="38" t="n">
        <f aca="false">'Historical Financials'!C7/'Historical Financials'!C35</f>
        <v>1.35921276194072</v>
      </c>
      <c r="D14" s="38" t="n">
        <f aca="false">'Historical Financials'!D7/'Historical Financials'!D35</f>
        <v>1.50166543301258</v>
      </c>
      <c r="E14" s="38" t="n">
        <f aca="false">'Historical Financials'!E7/'Historical Financials'!E35</f>
        <v>1.61929819000222</v>
      </c>
      <c r="F14" s="38" t="n">
        <f aca="false">'Historical Financials'!F7/'Historical Financials'!F35</f>
        <v>1.48741542625169</v>
      </c>
      <c r="G14" s="38" t="n">
        <f aca="false">'Historical Financials'!G7/'Historical Financials'!G35</f>
        <v>1.44621125807038</v>
      </c>
    </row>
    <row r="15" customFormat="false" ht="15" hidden="false" customHeight="true" outlineLevel="0" collapsed="false">
      <c r="B15" s="29" t="s">
        <v>117</v>
      </c>
      <c r="C15" s="36" t="n">
        <f aca="false">'Historical Financials'!C40/'Historical Financials'!C35</f>
        <v>0.0742401359259959</v>
      </c>
      <c r="D15" s="36" t="n">
        <f aca="false">'Historical Financials'!D40/'Historical Financials'!D35</f>
        <v>0.0497039230199852</v>
      </c>
      <c r="E15" s="36" t="n">
        <f aca="false">'Historical Financials'!E40/'Historical Financials'!E35</f>
        <v>0.0483722699464291</v>
      </c>
      <c r="F15" s="36" t="n">
        <f aca="false">'Historical Financials'!F40/'Historical Financials'!F35</f>
        <v>0.0389715832205683</v>
      </c>
      <c r="G15" s="36" t="n">
        <f aca="false">'Historical Financials'!G40/'Historical Financials'!G35</f>
        <v>0.0316540347748551</v>
      </c>
    </row>
    <row r="18" customFormat="false" ht="15" hidden="false" customHeight="true" outlineLevel="0" collapsed="false">
      <c r="B18" s="23" t="s">
        <v>118</v>
      </c>
      <c r="C18" s="6"/>
      <c r="D18" s="6"/>
      <c r="E18" s="6"/>
      <c r="F18" s="6"/>
      <c r="G18" s="6"/>
      <c r="H18" s="6"/>
    </row>
    <row r="19" customFormat="false" ht="30" hidden="false" customHeight="true" outlineLevel="0" collapsed="false">
      <c r="B19" s="40" t="s">
        <v>119</v>
      </c>
    </row>
    <row r="20" customFormat="false" ht="30" hidden="false" customHeight="true" outlineLevel="0" collapsed="false">
      <c r="B20" s="40" t="s">
        <v>120</v>
      </c>
    </row>
    <row r="21" customFormat="false" ht="30" hidden="false" customHeight="true" outlineLevel="0" collapsed="false">
      <c r="B21" s="40" t="s">
        <v>121</v>
      </c>
    </row>
    <row r="22" customFormat="false" ht="30" hidden="false" customHeight="true" outlineLevel="0" collapsed="false">
      <c r="B22" s="4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8"/>
    <col collapsed="false" customWidth="true" hidden="false" outlineLevel="0" max="7" min="3" style="1" width="13"/>
  </cols>
  <sheetData>
    <row r="2" customFormat="false" ht="15.75" hidden="false" customHeight="true" outlineLevel="0" collapsed="false">
      <c r="B2" s="25" t="s">
        <v>123</v>
      </c>
    </row>
    <row r="3" customFormat="false" ht="15" hidden="false" customHeight="true" outlineLevel="0" collapsed="false">
      <c r="B3" s="26" t="s">
        <v>124</v>
      </c>
    </row>
    <row r="5" customFormat="false" ht="15" hidden="false" customHeight="true" outlineLevel="0" collapsed="false">
      <c r="B5" s="23" t="s">
        <v>125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27" t="s">
        <v>61</v>
      </c>
      <c r="C6" s="28" t="s">
        <v>126</v>
      </c>
      <c r="D6" s="28" t="s">
        <v>127</v>
      </c>
      <c r="E6" s="28" t="s">
        <v>128</v>
      </c>
      <c r="F6" s="28" t="s">
        <v>129</v>
      </c>
      <c r="G6" s="28" t="s">
        <v>130</v>
      </c>
    </row>
    <row r="7" customFormat="false" ht="15" hidden="false" customHeight="true" outlineLevel="0" collapsed="false">
      <c r="B7" s="1" t="s">
        <v>6</v>
      </c>
      <c r="C7" s="41" t="n">
        <f aca="false">'Historical Financials'!$G$7*(1+'Cover &amp; Assumptions'!$C$23)</f>
        <v>100721.6</v>
      </c>
      <c r="D7" s="41" t="n">
        <f aca="false">C7*(1+'Cover &amp; Assumptions'!$C$23)</f>
        <v>115829.84</v>
      </c>
      <c r="E7" s="41" t="n">
        <f aca="false">D7*(1+'Cover &amp; Assumptions'!$C$23)</f>
        <v>133204.316</v>
      </c>
      <c r="F7" s="41" t="n">
        <f aca="false">E7*(1+'Cover &amp; Assumptions'!$C$23)</f>
        <v>153184.9634</v>
      </c>
      <c r="G7" s="41" t="n">
        <f aca="false">F7*(1+'Cover &amp; Assumptions'!$C$23)</f>
        <v>176162.70791</v>
      </c>
    </row>
    <row r="8" customFormat="false" ht="15" hidden="false" customHeight="true" outlineLevel="0" collapsed="false">
      <c r="B8" s="1" t="s">
        <v>131</v>
      </c>
      <c r="C8" s="41" t="n">
        <f aca="false">C7*'Cover &amp; Assumptions'!$C$24</f>
        <v>9870.7168</v>
      </c>
      <c r="D8" s="41" t="n">
        <f aca="false">D7*'Cover &amp; Assumptions'!$C$24</f>
        <v>11351.32432</v>
      </c>
      <c r="E8" s="41" t="n">
        <f aca="false">E7*'Cover &amp; Assumptions'!$C$24</f>
        <v>13054.022968</v>
      </c>
      <c r="F8" s="41" t="n">
        <f aca="false">F7*'Cover &amp; Assumptions'!$C$24</f>
        <v>15012.1264132</v>
      </c>
      <c r="G8" s="41" t="n">
        <f aca="false">G7*'Cover &amp; Assumptions'!$C$24</f>
        <v>17263.94537518</v>
      </c>
    </row>
    <row r="9" customFormat="false" ht="15" hidden="false" customHeight="true" outlineLevel="0" collapsed="false">
      <c r="B9" s="1" t="s">
        <v>132</v>
      </c>
      <c r="C9" s="41" t="n">
        <f aca="false">C7*'Cover &amp; Assumptions'!$C$25</f>
        <v>1107.9376</v>
      </c>
      <c r="D9" s="41" t="n">
        <f aca="false">D7*'Cover &amp; Assumptions'!$C$25</f>
        <v>1274.12824</v>
      </c>
      <c r="E9" s="41" t="n">
        <f aca="false">E7*'Cover &amp; Assumptions'!$C$25</f>
        <v>1465.247476</v>
      </c>
      <c r="F9" s="41" t="n">
        <f aca="false">F7*'Cover &amp; Assumptions'!$C$25</f>
        <v>1685.0345974</v>
      </c>
      <c r="G9" s="41" t="n">
        <f aca="false">G7*'Cover &amp; Assumptions'!$C$25</f>
        <v>1937.78978701</v>
      </c>
    </row>
    <row r="10" customFormat="false" ht="15" hidden="false" customHeight="true" outlineLevel="0" collapsed="false">
      <c r="B10" s="31" t="s">
        <v>133</v>
      </c>
      <c r="C10" s="32" t="n">
        <f aca="false">C8-C9</f>
        <v>8762.7792</v>
      </c>
      <c r="D10" s="32" t="n">
        <f aca="false">D8-D9</f>
        <v>10077.19608</v>
      </c>
      <c r="E10" s="32" t="n">
        <f aca="false">E8-E9</f>
        <v>11588.775492</v>
      </c>
      <c r="F10" s="32" t="n">
        <f aca="false">F8-F9</f>
        <v>13327.0918158</v>
      </c>
      <c r="G10" s="32" t="n">
        <f aca="false">G8-G9</f>
        <v>15326.15558817</v>
      </c>
    </row>
    <row r="11" customFormat="false" ht="15" hidden="false" customHeight="true" outlineLevel="0" collapsed="false">
      <c r="B11" s="1" t="s">
        <v>134</v>
      </c>
      <c r="C11" s="41" t="n">
        <f aca="false">C10*'Cover &amp; Assumptions'!$C$18</f>
        <v>2278.322592</v>
      </c>
      <c r="D11" s="41" t="n">
        <f aca="false">D10*'Cover &amp; Assumptions'!$C$18</f>
        <v>2620.0709808</v>
      </c>
      <c r="E11" s="41" t="n">
        <f aca="false">E10*'Cover &amp; Assumptions'!$C$18</f>
        <v>3013.08162792</v>
      </c>
      <c r="F11" s="41" t="n">
        <f aca="false">F10*'Cover &amp; Assumptions'!$C$18</f>
        <v>3465.043872108</v>
      </c>
      <c r="G11" s="41" t="n">
        <f aca="false">G10*'Cover &amp; Assumptions'!$C$18</f>
        <v>3984.8004529242</v>
      </c>
    </row>
    <row r="12" customFormat="false" ht="15" hidden="false" customHeight="true" outlineLevel="0" collapsed="false">
      <c r="B12" s="33" t="s">
        <v>135</v>
      </c>
      <c r="C12" s="34" t="n">
        <f aca="false">C10-C11</f>
        <v>6484.456608</v>
      </c>
      <c r="D12" s="34" t="n">
        <f aca="false">D10-D11</f>
        <v>7457.1250992</v>
      </c>
      <c r="E12" s="34" t="n">
        <f aca="false">E10-E11</f>
        <v>8575.69386408</v>
      </c>
      <c r="F12" s="34" t="n">
        <f aca="false">F10-F11</f>
        <v>9862.047943692</v>
      </c>
      <c r="G12" s="34" t="n">
        <f aca="false">G10-G11</f>
        <v>11341.3551352458</v>
      </c>
    </row>
    <row r="13" customFormat="false" ht="15" hidden="false" customHeight="true" outlineLevel="0" collapsed="false">
      <c r="B13" s="1" t="s">
        <v>136</v>
      </c>
      <c r="C13" s="41" t="n">
        <f aca="false">C9</f>
        <v>1107.9376</v>
      </c>
      <c r="D13" s="41" t="n">
        <f aca="false">D9</f>
        <v>1274.12824</v>
      </c>
      <c r="E13" s="41" t="n">
        <f aca="false">E9</f>
        <v>1465.247476</v>
      </c>
      <c r="F13" s="41" t="n">
        <f aca="false">F9</f>
        <v>1685.0345974</v>
      </c>
      <c r="G13" s="41" t="n">
        <f aca="false">G9</f>
        <v>1937.78978701</v>
      </c>
    </row>
    <row r="14" customFormat="false" ht="15" hidden="false" customHeight="true" outlineLevel="0" collapsed="false">
      <c r="B14" s="1" t="s">
        <v>137</v>
      </c>
      <c r="C14" s="41" t="n">
        <f aca="false">C7*'Cover &amp; Assumptions'!$C$26</f>
        <v>2719.4832</v>
      </c>
      <c r="D14" s="41" t="n">
        <f aca="false">D7*'Cover &amp; Assumptions'!$C$26</f>
        <v>3127.40568</v>
      </c>
      <c r="E14" s="41" t="n">
        <f aca="false">E7*'Cover &amp; Assumptions'!$C$26</f>
        <v>3596.516532</v>
      </c>
      <c r="F14" s="41" t="n">
        <f aca="false">F7*'Cover &amp; Assumptions'!$C$26</f>
        <v>4135.9940118</v>
      </c>
      <c r="G14" s="41" t="n">
        <f aca="false">G7*'Cover &amp; Assumptions'!$C$26</f>
        <v>4756.39311357</v>
      </c>
    </row>
    <row r="15" customFormat="false" ht="15" hidden="false" customHeight="true" outlineLevel="0" collapsed="false">
      <c r="B15" s="1" t="s">
        <v>138</v>
      </c>
      <c r="C15" s="41" t="n">
        <f aca="false">(C7-'Historical Financials'!$G$7)*'Cover &amp; Assumptions'!$C$27</f>
        <v>2627.52</v>
      </c>
      <c r="D15" s="41" t="n">
        <f aca="false">(D7-C7)*'Cover &amp; Assumptions'!$C$27</f>
        <v>3021.648</v>
      </c>
      <c r="E15" s="41" t="n">
        <f aca="false">(E7-D7)*'Cover &amp; Assumptions'!$C$27</f>
        <v>3474.8952</v>
      </c>
      <c r="F15" s="41" t="n">
        <f aca="false">(F7-E7)*'Cover &amp; Assumptions'!$C$27</f>
        <v>3996.12948</v>
      </c>
      <c r="G15" s="41" t="n">
        <f aca="false">(G7-F7)*'Cover &amp; Assumptions'!$C$27</f>
        <v>4595.548902</v>
      </c>
    </row>
    <row r="16" customFormat="false" ht="15" hidden="false" customHeight="true" outlineLevel="0" collapsed="false">
      <c r="B16" s="42" t="s">
        <v>139</v>
      </c>
      <c r="C16" s="43" t="n">
        <f aca="false">C12+C13-C14-C15</f>
        <v>2245.391008</v>
      </c>
      <c r="D16" s="43" t="n">
        <f aca="false">D12+D13-D14-D15</f>
        <v>2582.1996592</v>
      </c>
      <c r="E16" s="43" t="n">
        <f aca="false">E12+E13-E14-E15</f>
        <v>2969.52960808</v>
      </c>
      <c r="F16" s="43" t="n">
        <f aca="false">F12+F13-F14-F15</f>
        <v>3414.959049292</v>
      </c>
      <c r="G16" s="43" t="n">
        <f aca="false">G12+G13-G14-G15</f>
        <v>3927.2029066858</v>
      </c>
    </row>
    <row r="18" customFormat="false" ht="15" hidden="false" customHeight="true" outlineLevel="0" collapsed="false">
      <c r="B18" s="23" t="s">
        <v>140</v>
      </c>
      <c r="C18" s="6"/>
      <c r="D18" s="6"/>
      <c r="E18" s="6"/>
    </row>
    <row r="19" customFormat="false" ht="15" hidden="false" customHeight="true" outlineLevel="0" collapsed="false">
      <c r="B19" s="1" t="s">
        <v>141</v>
      </c>
      <c r="C19" s="36" t="n">
        <f aca="false">'Cover &amp; Assumptions'!$C$14+'Cover &amp; Assumptions'!$C$16*'Cover &amp; Assumptions'!$C$15</f>
        <v>0.113</v>
      </c>
    </row>
    <row r="20" customFormat="false" ht="15" hidden="false" customHeight="true" outlineLevel="0" collapsed="false">
      <c r="B20" s="1" t="s">
        <v>142</v>
      </c>
      <c r="C20" s="36" t="n">
        <f aca="false">'Cover &amp; Assumptions'!$C$17*(1-'Cover &amp; Assumptions'!$C$18)</f>
        <v>0.0555</v>
      </c>
    </row>
    <row r="21" customFormat="false" ht="15" hidden="false" customHeight="true" outlineLevel="0" collapsed="false">
      <c r="B21" s="1" t="s">
        <v>143</v>
      </c>
      <c r="C21" s="36" t="n">
        <f aca="false">('Cover &amp; Assumptions'!$C$9*'Cover &amp; Assumptions'!$C$10)/('Cover &amp; Assumptions'!$C$9*'Cover &amp; Assumptions'!$C$10+'Historical Financials'!$G$28)</f>
        <v>0.919719744961892</v>
      </c>
    </row>
    <row r="22" customFormat="false" ht="15" hidden="false" customHeight="true" outlineLevel="0" collapsed="false">
      <c r="B22" s="1" t="s">
        <v>144</v>
      </c>
      <c r="C22" s="36" t="n">
        <f aca="false">1-C21</f>
        <v>0.0802802550381084</v>
      </c>
    </row>
    <row r="23" customFormat="false" ht="15" hidden="false" customHeight="true" outlineLevel="0" collapsed="false">
      <c r="B23" s="42" t="s">
        <v>145</v>
      </c>
      <c r="C23" s="44" t="n">
        <f aca="false">C21*C19+C22*C20</f>
        <v>0.108383885335309</v>
      </c>
    </row>
    <row r="25" customFormat="false" ht="15" hidden="false" customHeight="true" outlineLevel="0" collapsed="false">
      <c r="B25" s="23" t="s">
        <v>146</v>
      </c>
      <c r="C25" s="6"/>
      <c r="D25" s="6"/>
      <c r="E25" s="6"/>
    </row>
    <row r="26" customFormat="false" ht="15" hidden="false" customHeight="true" outlineLevel="0" collapsed="false">
      <c r="B26" s="1" t="s">
        <v>147</v>
      </c>
      <c r="C26" s="45" t="n">
        <f aca="false">1/(1+$C$23)^1</f>
        <v>0.90221448834713</v>
      </c>
      <c r="D26" s="45" t="n">
        <f aca="false">1/(1+$C$23)^2</f>
        <v>0.813990982983474</v>
      </c>
      <c r="E26" s="45" t="n">
        <f aca="false">1/(1+$C$23)^3</f>
        <v>0.734394458231613</v>
      </c>
      <c r="F26" s="45" t="n">
        <f aca="false">1/(1+$C$23)^4</f>
        <v>0.662581320378403</v>
      </c>
      <c r="G26" s="45" t="n">
        <f aca="false">1/(1+$C$23)^5</f>
        <v>0.597790466953567</v>
      </c>
    </row>
    <row r="27" customFormat="false" ht="15" hidden="false" customHeight="true" outlineLevel="0" collapsed="false">
      <c r="B27" s="1" t="s">
        <v>148</v>
      </c>
      <c r="C27" s="41" t="n">
        <f aca="false">C16*C26</f>
        <v>2025.82429942197</v>
      </c>
      <c r="D27" s="41" t="n">
        <f aca="false">D16*D26</f>
        <v>2101.8872388518</v>
      </c>
      <c r="E27" s="41" t="n">
        <f aca="false">E16*E26</f>
        <v>2180.80608772865</v>
      </c>
      <c r="F27" s="41" t="n">
        <f aca="false">F16*F26</f>
        <v>2262.68807591807</v>
      </c>
      <c r="G27" s="41" t="n">
        <f aca="false">G16*G26</f>
        <v>2347.64445940911</v>
      </c>
    </row>
    <row r="28" customFormat="false" ht="15" hidden="false" customHeight="true" outlineLevel="0" collapsed="false">
      <c r="B28" s="33" t="s">
        <v>149</v>
      </c>
      <c r="C28" s="34" t="n">
        <f aca="false">SUM(C27:G27)</f>
        <v>10918.8501613296</v>
      </c>
    </row>
    <row r="29" customFormat="false" ht="15" hidden="false" customHeight="true" outlineLevel="0" collapsed="false">
      <c r="B29" s="1" t="s">
        <v>150</v>
      </c>
      <c r="C29" s="41" t="n">
        <f aca="false">G16*(1+'Cover &amp; Assumptions'!$C$19)/($C$23-'Cover &amp; Assumptions'!$C$19)</f>
        <v>64747.1674507861</v>
      </c>
    </row>
    <row r="30" customFormat="false" ht="15" hidden="false" customHeight="true" outlineLevel="0" collapsed="false">
      <c r="B30" s="1" t="s">
        <v>151</v>
      </c>
      <c r="C30" s="41" t="n">
        <f aca="false">C29*G26</f>
        <v>38705.2394643262</v>
      </c>
    </row>
    <row r="31" customFormat="false" ht="15" hidden="false" customHeight="true" outlineLevel="0" collapsed="false">
      <c r="B31" s="31" t="s">
        <v>152</v>
      </c>
      <c r="C31" s="32" t="n">
        <f aca="false">C28+C30</f>
        <v>49624.0896256558</v>
      </c>
    </row>
    <row r="32" customFormat="false" ht="15" hidden="false" customHeight="true" outlineLevel="0" collapsed="false">
      <c r="B32" s="1" t="s">
        <v>153</v>
      </c>
      <c r="C32" s="41" t="n">
        <f aca="false">'Historical Financials'!$G$28-'Historical Financials'!$G$40</f>
        <v>28704</v>
      </c>
    </row>
    <row r="33" customFormat="false" ht="15" hidden="false" customHeight="true" outlineLevel="0" collapsed="false">
      <c r="B33" s="31" t="s">
        <v>154</v>
      </c>
      <c r="C33" s="32" t="n">
        <f aca="false">C31-C32</f>
        <v>20920.0896256558</v>
      </c>
    </row>
    <row r="34" customFormat="false" ht="15" hidden="false" customHeight="true" outlineLevel="0" collapsed="false">
      <c r="B34" s="1" t="s">
        <v>38</v>
      </c>
      <c r="C34" s="46" t="n">
        <f aca="false">'Cover &amp; Assumptions'!$C$10</f>
        <v>88.78</v>
      </c>
    </row>
    <row r="35" customFormat="false" ht="15" hidden="false" customHeight="true" outlineLevel="0" collapsed="false">
      <c r="B35" s="42" t="s">
        <v>155</v>
      </c>
      <c r="C35" s="47" t="n">
        <f aca="false">C33/C34</f>
        <v>235.639666880556</v>
      </c>
    </row>
    <row r="36" customFormat="false" ht="15" hidden="false" customHeight="true" outlineLevel="0" collapsed="false">
      <c r="B36" s="1" t="s">
        <v>13</v>
      </c>
      <c r="C36" s="48" t="n">
        <f aca="false">'Cover &amp; Assumptions'!$C$9</f>
        <v>3951.4</v>
      </c>
    </row>
    <row r="37" customFormat="false" ht="15" hidden="false" customHeight="true" outlineLevel="0" collapsed="false">
      <c r="B37" s="42" t="s">
        <v>14</v>
      </c>
      <c r="C37" s="44" t="n">
        <f aca="false">C35/C36-1</f>
        <v>-0.940365524401337</v>
      </c>
    </row>
    <row r="40" customFormat="false" ht="15" hidden="false" customHeight="true" outlineLevel="0" collapsed="false">
      <c r="B40" s="23" t="s">
        <v>156</v>
      </c>
      <c r="C40" s="6"/>
      <c r="D40" s="6"/>
      <c r="E40" s="6"/>
      <c r="F40" s="6"/>
      <c r="G40" s="6"/>
      <c r="H40" s="6"/>
    </row>
    <row r="41" customFormat="false" ht="15" hidden="false" customHeight="true" outlineLevel="0" collapsed="false">
      <c r="B41" s="27" t="s">
        <v>157</v>
      </c>
      <c r="C41" s="49" t="n">
        <f aca="false">'Cover &amp; Assumptions'!$C$19+(-0.01)</f>
        <v>0.035</v>
      </c>
      <c r="D41" s="49" t="n">
        <f aca="false">'Cover &amp; Assumptions'!$C$19+(-0.005)</f>
        <v>0.04</v>
      </c>
      <c r="E41" s="49" t="n">
        <f aca="false">'Cover &amp; Assumptions'!$C$19+(0)</f>
        <v>0.045</v>
      </c>
      <c r="F41" s="49" t="n">
        <f aca="false">'Cover &amp; Assumptions'!$C$19+(0.005)</f>
        <v>0.05</v>
      </c>
      <c r="G41" s="49" t="n">
        <f aca="false">'Cover &amp; Assumptions'!$C$19+(0.01)</f>
        <v>0.055</v>
      </c>
    </row>
    <row r="42" customFormat="false" ht="15" hidden="false" customHeight="true" outlineLevel="0" collapsed="false">
      <c r="B42" s="50" t="n">
        <f aca="false">$C$23+(-0.01)</f>
        <v>0.0983838853353088</v>
      </c>
      <c r="C42" s="51" t="n">
        <f aca="false">((C$16/(1+$B42)^1+D$16/(1+$B42)^2+E$16/(1+$B42)^3+F$16/(1+$B42)^4+G$16/(1+$B42)^5+(G$16*(1+C$41)/($B42-C$41))/(1+$B42)^5)-$C$32)/$C$34</f>
        <v>254.969477597628</v>
      </c>
      <c r="D42" s="51" t="n">
        <f aca="false">((C$16/(1+$B42)^1+D$16/(1+$B42)^2+E$16/(1+$B42)^3+F$16/(1+$B42)^4+G$16/(1+$B42)^5+(G$16*(1+D$41)/($B42-D$41))/(1+$B42)^5)-$C$32)/$C$34</f>
        <v>296.032389497777</v>
      </c>
      <c r="E42" s="51" t="n">
        <f aca="false">((C$16/(1+$B42)^1+D$16/(1+$B42)^2+E$16/(1+$B42)^3+F$16/(1+$B42)^4+G$16/(1+$B42)^5+(G$16*(1+E$41)/($B42-E$41))/(1+$B42)^5)-$C$32)/$C$34</f>
        <v>344.787306511872</v>
      </c>
      <c r="F42" s="51" t="n">
        <f aca="false">((C$16/(1+$B42)^1+D$16/(1+$B42)^2+E$16/(1+$B42)^3+F$16/(1+$B42)^4+G$16/(1+$B42)^5+(G$16*(1+F$41)/($B42-F$41))/(1+$B42)^5)-$C$32)/$C$34</f>
        <v>403.61890849581</v>
      </c>
      <c r="G42" s="51" t="n">
        <f aca="false">((C$16/(1+$B42)^1+D$16/(1+$B42)^2+E$16/(1+$B42)^3+F$16/(1+$B42)^4+G$16/(1+$B42)^5+(G$16*(1+G$41)/($B42-G$41))/(1+$B42)^5)-$C$32)/$C$34</f>
        <v>476.011214305428</v>
      </c>
    </row>
    <row r="43" customFormat="false" ht="15" hidden="false" customHeight="true" outlineLevel="0" collapsed="false">
      <c r="B43" s="50" t="n">
        <f aca="false">$C$23+(-0.005)</f>
        <v>0.103383885335309</v>
      </c>
      <c r="C43" s="51" t="n">
        <f aca="false">((C$16/(1+$B43)^1+D$16/(1+$B43)^2+E$16/(1+$B43)^3+F$16/(1+$B43)^4+G$16/(1+$B43)^5+(G$16*(1+C$41)/($B43-C$41))/(1+$B43)^5)-$C$32)/$C$34</f>
        <v>210.770550144139</v>
      </c>
      <c r="D43" s="51" t="n">
        <f aca="false">((C$16/(1+$B43)^1+D$16/(1+$B43)^2+E$16/(1+$B43)^3+F$16/(1+$B43)^4+G$16/(1+$B43)^5+(G$16*(1+D$41)/($B43-D$41))/(1+$B43)^5)-$C$32)/$C$34</f>
        <v>245.197538056849</v>
      </c>
      <c r="E43" s="51" t="n">
        <f aca="false">((C$16/(1+$B43)^1+D$16/(1+$B43)^2+E$16/(1+$B43)^3+F$16/(1+$B43)^4+G$16/(1+$B43)^5+(G$16*(1+E$41)/($B43-E$41))/(1+$B43)^5)-$C$32)/$C$34</f>
        <v>285.521185247198</v>
      </c>
      <c r="F43" s="51" t="n">
        <f aca="false">((C$16/(1+$B43)^1+D$16/(1+$B43)^2+E$16/(1+$B43)^3+F$16/(1+$B43)^4+G$16/(1+$B43)^5+(G$16*(1+F$41)/($B43-F$41))/(1+$B43)^5)-$C$32)/$C$34</f>
        <v>333.398356677507</v>
      </c>
      <c r="G43" s="51" t="n">
        <f aca="false">((C$16/(1+$B43)^1+D$16/(1+$B43)^2+E$16/(1+$B43)^3+F$16/(1+$B43)^4+G$16/(1+$B43)^5+(G$16*(1+G$41)/($B43-G$41))/(1+$B43)^5)-$C$32)/$C$34</f>
        <v>391.170800283358</v>
      </c>
    </row>
    <row r="44" customFormat="false" ht="15" hidden="false" customHeight="true" outlineLevel="0" collapsed="false">
      <c r="B44" s="50" t="n">
        <f aca="false">$C$23+(0)</f>
        <v>0.108383885335309</v>
      </c>
      <c r="C44" s="51" t="n">
        <f aca="false">((C$16/(1+$B44)^1+D$16/(1+$B44)^2+E$16/(1+$B44)^3+F$16/(1+$B44)^4+G$16/(1+$B44)^5+(G$16*(1+C$41)/($B44-C$41))/(1+$B44)^5)-$C$32)/$C$34</f>
        <v>172.627004633003</v>
      </c>
      <c r="D44" s="51" t="n">
        <f aca="false">((C$16/(1+$B44)^1+D$16/(1+$B44)^2+E$16/(1+$B44)^3+F$16/(1+$B44)^4+G$16/(1+$B44)^5+(G$16*(1+D$41)/($B44-D$41))/(1+$B44)^5)-$C$32)/$C$34</f>
        <v>201.829698652125</v>
      </c>
      <c r="E44" s="51" t="n">
        <f aca="false">((C$16/(1+$B44)^1+D$16/(1+$B44)^2+E$16/(1+$B44)^3+F$16/(1+$B44)^4+G$16/(1+$B44)^5+(G$16*(1+E$41)/($B44-E$41))/(1+$B44)^5)-$C$32)/$C$34</f>
        <v>235.639666880556</v>
      </c>
      <c r="F44" s="51" t="n">
        <f aca="false">((C$16/(1+$B44)^1+D$16/(1+$B44)^2+E$16/(1+$B44)^3+F$16/(1+$B44)^4+G$16/(1+$B44)^5+(G$16*(1+F$41)/($B44-F$41))/(1+$B44)^5)-$C$32)/$C$34</f>
        <v>275.240611169292</v>
      </c>
      <c r="G44" s="51" t="n">
        <f aca="false">((C$16/(1+$B44)^1+D$16/(1+$B44)^2+E$16/(1+$B44)^3+F$16/(1+$B44)^4+G$16/(1+$B44)^5+(G$16*(1+G$41)/($B44-G$41))/(1+$B44)^5)-$C$32)/$C$34</f>
        <v>322.259701222428</v>
      </c>
    </row>
    <row r="45" customFormat="false" ht="15" hidden="false" customHeight="true" outlineLevel="0" collapsed="false">
      <c r="B45" s="50" t="n">
        <f aca="false">$C$23+(0.005)</f>
        <v>0.113383885335309</v>
      </c>
      <c r="C45" s="51" t="n">
        <f aca="false">((C$16/(1+$B45)^1+D$16/(1+$B45)^2+E$16/(1+$B45)^3+F$16/(1+$B45)^4+G$16/(1+$B45)^5+(G$16*(1+C$41)/($B45-C$41))/(1+$B45)^5)-$C$32)/$C$34</f>
        <v>139.379331890422</v>
      </c>
      <c r="D45" s="51" t="n">
        <f aca="false">((C$16/(1+$B45)^1+D$16/(1+$B45)^2+E$16/(1+$B45)^3+F$16/(1+$B45)^4+G$16/(1+$B45)^5+(G$16*(1+D$41)/($B45-D$41))/(1+$B45)^5)-$C$32)/$C$34</f>
        <v>164.401848754441</v>
      </c>
      <c r="E45" s="51" t="n">
        <f aca="false">((C$16/(1+$B45)^1+D$16/(1+$B45)^2+E$16/(1+$B45)^3+F$16/(1+$B45)^4+G$16/(1+$B45)^5+(G$16*(1+E$41)/($B45-E$41))/(1+$B45)^5)-$C$32)/$C$34</f>
        <v>193.083490387596</v>
      </c>
      <c r="F45" s="51" t="n">
        <f aca="false">((C$16/(1+$B45)^1+D$16/(1+$B45)^2+E$16/(1+$B45)^3+F$16/(1+$B45)^4+G$16/(1+$B45)^5+(G$16*(1+F$41)/($B45-F$41))/(1+$B45)^5)-$C$32)/$C$34</f>
        <v>226.290200416515</v>
      </c>
      <c r="G45" s="51" t="n">
        <f aca="false">((C$16/(1+$B45)^1+D$16/(1+$B45)^2+E$16/(1+$B45)^3+F$16/(1+$B45)^4+G$16/(1+$B45)^5+(G$16*(1+G$41)/($B45-G$41))/(1+$B45)^5)-$C$32)/$C$34</f>
        <v>265.184560357427</v>
      </c>
    </row>
    <row r="46" customFormat="false" ht="15" hidden="false" customHeight="true" outlineLevel="0" collapsed="false">
      <c r="B46" s="50" t="n">
        <f aca="false">$C$23+(0.01)</f>
        <v>0.118383885335309</v>
      </c>
      <c r="C46" s="51" t="n">
        <f aca="false">((C$16/(1+$B46)^1+D$16/(1+$B46)^2+E$16/(1+$B46)^3+F$16/(1+$B46)^4+G$16/(1+$B46)^5+(G$16*(1+C$41)/($B46-C$41))/(1+$B46)^5)-$C$32)/$C$34</f>
        <v>110.146155451236</v>
      </c>
      <c r="D46" s="51" t="n">
        <f aca="false">((C$16/(1+$B46)^1+D$16/(1+$B46)^2+E$16/(1+$B46)^3+F$16/(1+$B46)^4+G$16/(1+$B46)^5+(G$16*(1+D$41)/($B46-D$41))/(1+$B46)^5)-$C$32)/$C$34</f>
        <v>131.776612037953</v>
      </c>
      <c r="E46" s="51" t="n">
        <f aca="false">((C$16/(1+$B46)^1+D$16/(1+$B46)^2+E$16/(1+$B46)^3+F$16/(1+$B46)^4+G$16/(1+$B46)^5+(G$16*(1+E$41)/($B46-E$41))/(1+$B46)^5)-$C$32)/$C$34</f>
        <v>156.354644442968</v>
      </c>
      <c r="F46" s="51" t="n">
        <f aca="false">((C$16/(1+$B46)^1+D$16/(1+$B46)^2+E$16/(1+$B46)^3+F$16/(1+$B46)^4+G$16/(1+$B46)^5+(G$16*(1+F$41)/($B46-F$41))/(1+$B46)^5)-$C$32)/$C$34</f>
        <v>184.526803195807</v>
      </c>
      <c r="G46" s="51" t="n">
        <f aca="false">((C$16/(1+$B46)^1+D$16/(1+$B46)^2+E$16/(1+$B46)^3+F$16/(1+$B46)^4+G$16/(1+$B46)^5+(G$16*(1+G$41)/($B46-G$41))/(1+$B46)^5)-$C$32)/$C$34</f>
        <v>217.143649837973</v>
      </c>
    </row>
    <row r="48" customFormat="false" ht="15" hidden="false" customHeight="true" outlineLevel="0" collapsed="false">
      <c r="B48" s="2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7" min="3" style="1" width="15"/>
  </cols>
  <sheetData>
    <row r="2" customFormat="false" ht="15.75" hidden="false" customHeight="true" outlineLevel="0" collapsed="false">
      <c r="B2" s="25" t="s">
        <v>159</v>
      </c>
    </row>
    <row r="3" customFormat="false" ht="15" hidden="false" customHeight="true" outlineLevel="0" collapsed="false">
      <c r="B3" s="26" t="s">
        <v>160</v>
      </c>
    </row>
    <row r="5" customFormat="false" ht="15" hidden="false" customHeight="true" outlineLevel="0" collapsed="false">
      <c r="B5" s="23" t="s">
        <v>161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27" t="s">
        <v>61</v>
      </c>
      <c r="C6" s="28" t="s">
        <v>62</v>
      </c>
      <c r="D6" s="28" t="s">
        <v>63</v>
      </c>
      <c r="E6" s="28" t="s">
        <v>64</v>
      </c>
      <c r="F6" s="28" t="s">
        <v>65</v>
      </c>
      <c r="G6" s="28" t="s">
        <v>66</v>
      </c>
    </row>
    <row r="7" customFormat="false" ht="15" hidden="false" customHeight="true" outlineLevel="0" collapsed="false">
      <c r="B7" s="29" t="s">
        <v>162</v>
      </c>
      <c r="C7" s="30" t="n">
        <v>10817.93</v>
      </c>
      <c r="D7" s="30" t="n">
        <v>14071.45</v>
      </c>
      <c r="E7" s="30" t="n">
        <v>18515.55</v>
      </c>
      <c r="F7" s="30" t="n">
        <v>25045.07</v>
      </c>
      <c r="G7" s="30" t="n">
        <v>35742.86</v>
      </c>
    </row>
    <row r="8" customFormat="false" ht="15" hidden="false" customHeight="true" outlineLevel="0" collapsed="false">
      <c r="B8" s="29" t="s">
        <v>76</v>
      </c>
      <c r="C8" s="30" t="n">
        <v>38.29</v>
      </c>
      <c r="D8" s="30" t="n">
        <v>4.64</v>
      </c>
      <c r="E8" s="30" t="n">
        <v>106.44</v>
      </c>
      <c r="F8" s="30" t="n">
        <v>140.18</v>
      </c>
      <c r="G8" s="30" t="n">
        <v>162.25</v>
      </c>
    </row>
    <row r="9" customFormat="false" ht="15" hidden="false" customHeight="true" outlineLevel="0" collapsed="false">
      <c r="B9" s="29" t="s">
        <v>77</v>
      </c>
      <c r="C9" s="30" t="n">
        <v>231.58</v>
      </c>
      <c r="D9" s="30" t="n">
        <v>244.58</v>
      </c>
      <c r="E9" s="30" t="n">
        <v>274.3</v>
      </c>
      <c r="F9" s="30" t="n">
        <v>342.72</v>
      </c>
      <c r="G9" s="30" t="n">
        <v>422.86</v>
      </c>
    </row>
    <row r="10" customFormat="false" ht="15" hidden="false" customHeight="true" outlineLevel="0" collapsed="false">
      <c r="B10" s="29" t="s">
        <v>78</v>
      </c>
      <c r="C10" s="30" t="n">
        <v>360.37</v>
      </c>
      <c r="D10" s="30" t="n">
        <v>353.48</v>
      </c>
      <c r="E10" s="30" t="n">
        <v>378.59</v>
      </c>
      <c r="F10" s="30" t="n">
        <v>422.37</v>
      </c>
      <c r="G10" s="30" t="n">
        <v>499.48</v>
      </c>
    </row>
    <row r="11" customFormat="false" ht="15" hidden="false" customHeight="true" outlineLevel="0" collapsed="false">
      <c r="B11" s="31" t="s">
        <v>79</v>
      </c>
      <c r="C11" s="32" t="n">
        <v>298.85</v>
      </c>
      <c r="D11" s="32" t="n">
        <v>571.53</v>
      </c>
      <c r="E11" s="32" t="n">
        <v>788.83</v>
      </c>
      <c r="F11" s="32" t="n">
        <v>959.6</v>
      </c>
      <c r="G11" s="32" t="n">
        <v>1801.99</v>
      </c>
    </row>
    <row r="12" customFormat="false" ht="15" hidden="false" customHeight="true" outlineLevel="0" collapsed="false">
      <c r="B12" s="29" t="s">
        <v>85</v>
      </c>
      <c r="C12" s="30" t="n">
        <v>74.82</v>
      </c>
      <c r="D12" s="30" t="n">
        <v>139.59</v>
      </c>
      <c r="E12" s="30" t="n">
        <v>192.54</v>
      </c>
      <c r="F12" s="30" t="n">
        <v>245.43</v>
      </c>
      <c r="G12" s="30" t="n">
        <v>451.59</v>
      </c>
    </row>
    <row r="13" customFormat="false" ht="15" hidden="false" customHeight="true" outlineLevel="0" collapsed="false">
      <c r="B13" s="31" t="s">
        <v>86</v>
      </c>
      <c r="C13" s="32" t="n">
        <f aca="false">C11-C12</f>
        <v>224.03</v>
      </c>
      <c r="D13" s="32" t="n">
        <f aca="false">D11-D12</f>
        <v>431.94</v>
      </c>
      <c r="E13" s="32" t="n">
        <f aca="false">E11-E12</f>
        <v>596.29</v>
      </c>
      <c r="F13" s="32" t="n">
        <f aca="false">F11-F12</f>
        <v>714.17</v>
      </c>
      <c r="G13" s="32" t="n">
        <f aca="false">G11-G12</f>
        <v>1350.4</v>
      </c>
    </row>
    <row r="14" customFormat="false" ht="15" hidden="false" customHeight="true" outlineLevel="0" collapsed="false">
      <c r="B14" s="31" t="s">
        <v>81</v>
      </c>
      <c r="C14" s="32" t="n">
        <f aca="false">C11-C8+C9+C10</f>
        <v>852.51</v>
      </c>
      <c r="D14" s="32" t="n">
        <f aca="false">D11-D8+D9+D10</f>
        <v>1164.95</v>
      </c>
      <c r="E14" s="32" t="n">
        <f aca="false">E11-E8+E9+E10</f>
        <v>1335.28</v>
      </c>
      <c r="F14" s="32" t="n">
        <f aca="false">F11-F8+F9+F10</f>
        <v>1584.51</v>
      </c>
      <c r="G14" s="32" t="n">
        <f aca="false">G11-G8+G9+G10</f>
        <v>2562.08</v>
      </c>
    </row>
    <row r="15" customFormat="false" ht="15" hidden="false" customHeight="true" outlineLevel="0" collapsed="false">
      <c r="B15" s="29" t="s">
        <v>88</v>
      </c>
      <c r="C15" s="30" t="n">
        <v>1030.05</v>
      </c>
      <c r="D15" s="30" t="n">
        <v>1030.05</v>
      </c>
      <c r="E15" s="30" t="n">
        <v>1030.05</v>
      </c>
      <c r="F15" s="30" t="n">
        <v>1031.44</v>
      </c>
      <c r="G15" s="30" t="n">
        <v>1032.74</v>
      </c>
    </row>
    <row r="16" customFormat="false" ht="15" hidden="false" customHeight="true" outlineLevel="0" collapsed="false">
      <c r="B16" s="29" t="s">
        <v>163</v>
      </c>
      <c r="C16" s="30" t="n">
        <v>2106.97</v>
      </c>
      <c r="D16" s="30" t="n">
        <v>2604.66</v>
      </c>
      <c r="E16" s="30" t="n">
        <v>3159</v>
      </c>
      <c r="F16" s="30" t="n">
        <v>3772.14</v>
      </c>
      <c r="G16" s="30" t="n">
        <v>5275.97</v>
      </c>
    </row>
    <row r="17" customFormat="false" ht="15" hidden="false" customHeight="true" outlineLevel="0" collapsed="false">
      <c r="B17" s="29" t="s">
        <v>90</v>
      </c>
      <c r="C17" s="30" t="n">
        <v>4029.32</v>
      </c>
      <c r="D17" s="30" t="n">
        <v>4295.49</v>
      </c>
      <c r="E17" s="30" t="n">
        <v>4494.95</v>
      </c>
      <c r="F17" s="30" t="n">
        <v>4959.36</v>
      </c>
      <c r="G17" s="30" t="n">
        <v>6117.34</v>
      </c>
    </row>
    <row r="18" customFormat="false" ht="15" hidden="false" customHeight="true" outlineLevel="0" collapsed="false">
      <c r="B18" s="29" t="s">
        <v>99</v>
      </c>
      <c r="C18" s="30" t="n">
        <v>119.47</v>
      </c>
      <c r="D18" s="30" t="n">
        <v>244.23</v>
      </c>
      <c r="E18" s="30" t="n">
        <v>328.32</v>
      </c>
      <c r="F18" s="30" t="n">
        <v>399.92</v>
      </c>
      <c r="G18" s="30" t="n">
        <v>866.55</v>
      </c>
    </row>
    <row r="19" customFormat="false" ht="15" hidden="false" customHeight="true" outlineLevel="0" collapsed="false">
      <c r="B19" s="29" t="s">
        <v>100</v>
      </c>
      <c r="C19" s="30" t="n">
        <v>5794.26</v>
      </c>
      <c r="D19" s="30" t="n">
        <v>7013.88</v>
      </c>
      <c r="E19" s="30" t="n">
        <v>8297.57</v>
      </c>
      <c r="F19" s="30" t="n">
        <v>9681.11</v>
      </c>
      <c r="G19" s="30" t="n">
        <v>14174.58</v>
      </c>
    </row>
    <row r="20" customFormat="false" ht="15" hidden="false" customHeight="true" outlineLevel="0" collapsed="false">
      <c r="B20" s="31" t="s">
        <v>97</v>
      </c>
      <c r="C20" s="32" t="n">
        <v>8945.15</v>
      </c>
      <c r="D20" s="32" t="n">
        <v>10712.95</v>
      </c>
      <c r="E20" s="32" t="n">
        <v>12817.73</v>
      </c>
      <c r="F20" s="32" t="n">
        <v>15125.95</v>
      </c>
      <c r="G20" s="32" t="n">
        <v>20716.64</v>
      </c>
    </row>
    <row r="21" customFormat="false" ht="15" hidden="false" customHeight="true" outlineLevel="0" collapsed="false">
      <c r="B21" s="29" t="s">
        <v>164</v>
      </c>
      <c r="C21" s="30"/>
      <c r="D21" s="30"/>
      <c r="E21" s="30"/>
      <c r="F21" s="30"/>
      <c r="G21" s="30" t="n">
        <v>582.85</v>
      </c>
    </row>
    <row r="22" customFormat="false" ht="15" hidden="false" customHeight="true" outlineLevel="0" collapsed="false">
      <c r="B22" s="29" t="s">
        <v>38</v>
      </c>
      <c r="C22" s="30"/>
      <c r="D22" s="30"/>
      <c r="E22" s="30"/>
      <c r="F22" s="30"/>
      <c r="G22" s="30" t="n">
        <v>103.27</v>
      </c>
    </row>
    <row r="24" customFormat="false" ht="15" hidden="false" customHeight="true" outlineLevel="0" collapsed="false">
      <c r="B24" s="23" t="s">
        <v>165</v>
      </c>
      <c r="C24" s="6"/>
      <c r="D24" s="6"/>
      <c r="E24" s="6"/>
    </row>
    <row r="25" customFormat="false" ht="15" hidden="false" customHeight="true" outlineLevel="0" collapsed="false">
      <c r="B25" s="52" t="s">
        <v>166</v>
      </c>
      <c r="C25" s="53" t="s">
        <v>167</v>
      </c>
      <c r="D25" s="53" t="s">
        <v>168</v>
      </c>
    </row>
    <row r="26" customFormat="false" ht="15" hidden="false" customHeight="true" outlineLevel="0" collapsed="false">
      <c r="B26" s="1" t="s">
        <v>169</v>
      </c>
      <c r="C26" s="54" t="n">
        <f aca="false">'Historical Financials'!$G$7</f>
        <v>87584</v>
      </c>
      <c r="D26" s="54" t="n">
        <f aca="false">$G$7</f>
        <v>35742.86</v>
      </c>
    </row>
    <row r="27" customFormat="false" ht="15" hidden="false" customHeight="true" outlineLevel="0" collapsed="false">
      <c r="B27" s="1" t="s">
        <v>170</v>
      </c>
      <c r="C27" s="36" t="n">
        <f aca="false">('Historical Financials'!$G$7/'Historical Financials'!$C$7)^(1/4)-1</f>
        <v>0.320571261886978</v>
      </c>
      <c r="D27" s="36" t="n">
        <f aca="false">($G$7/$C$7)^(1/4)-1</f>
        <v>0.348221607920642</v>
      </c>
    </row>
    <row r="28" customFormat="false" ht="15" hidden="false" customHeight="true" outlineLevel="0" collapsed="false">
      <c r="B28" s="1" t="s">
        <v>171</v>
      </c>
      <c r="C28" s="36" t="n">
        <f aca="false">'Historical Financials'!$G$19/'Historical Financials'!$G$7</f>
        <v>0.0954169711362806</v>
      </c>
      <c r="D28" s="36" t="n">
        <f aca="false">$G$14/$G$7</f>
        <v>0.0716808895538857</v>
      </c>
    </row>
    <row r="29" customFormat="false" ht="15" hidden="false" customHeight="true" outlineLevel="0" collapsed="false">
      <c r="B29" s="1" t="s">
        <v>7</v>
      </c>
      <c r="C29" s="36" t="n">
        <f aca="false">'Historical Financials'!$G$22/'Historical Financials'!$G$7</f>
        <v>0.0579215381804896</v>
      </c>
      <c r="D29" s="36" t="n">
        <f aca="false">$G$13/$G$7</f>
        <v>0.0377809721997624</v>
      </c>
    </row>
    <row r="30" customFormat="false" ht="15" hidden="false" customHeight="true" outlineLevel="0" collapsed="false">
      <c r="B30" s="1" t="s">
        <v>8</v>
      </c>
      <c r="C30" s="36" t="n">
        <f aca="false">'Historical Financials'!$G$22/('Historical Financials'!$G$26+'Historical Financials'!$G$27)</f>
        <v>0.323059288034134</v>
      </c>
      <c r="D30" s="36" t="n">
        <f aca="false">$G$13/($G$15+$G$16)</f>
        <v>0.214053269210346</v>
      </c>
    </row>
    <row r="31" customFormat="false" ht="15" hidden="false" customHeight="true" outlineLevel="0" collapsed="false">
      <c r="B31" s="1" t="s">
        <v>172</v>
      </c>
      <c r="C31" s="54" t="n">
        <f aca="false">'Cover &amp; Assumptions'!$C$9*'Cover &amp; Assumptions'!$C$10</f>
        <v>350805.292</v>
      </c>
      <c r="D31" s="54" t="n">
        <f aca="false">$G$21*$G$22</f>
        <v>60190.9195</v>
      </c>
    </row>
    <row r="32" customFormat="false" ht="15" hidden="false" customHeight="true" outlineLevel="0" collapsed="false">
      <c r="B32" s="1" t="s">
        <v>173</v>
      </c>
      <c r="C32" s="55" t="n">
        <f aca="false">('Cover &amp; Assumptions'!$C$9*'Cover &amp; Assumptions'!$C$10)/'Historical Financials'!$G$22</f>
        <v>69.15144726986</v>
      </c>
      <c r="D32" s="55" t="n">
        <f aca="false">($G$21*$G$22)/$G$13</f>
        <v>44.572659582346</v>
      </c>
    </row>
    <row r="33" customFormat="false" ht="15" hidden="false" customHeight="true" outlineLevel="0" collapsed="false">
      <c r="B33" s="1" t="s">
        <v>174</v>
      </c>
      <c r="C33" s="55" t="n">
        <f aca="false">('Cover &amp; Assumptions'!$C$9*'Cover &amp; Assumptions'!$C$10+'Historical Financials'!$G$28-'Historical Financials'!$G$40)/'Historical Financials'!$G$19</f>
        <v>45.4121445494795</v>
      </c>
      <c r="D33" s="55" t="n">
        <f aca="false">($G$21*$G$22+$G$17)/$G$14</f>
        <v>25.8806358505589</v>
      </c>
    </row>
    <row r="35" customFormat="false" ht="15" hidden="false" customHeight="true" outlineLevel="0" collapsed="false">
      <c r="B35" s="23" t="s">
        <v>175</v>
      </c>
      <c r="C35" s="6"/>
      <c r="D35" s="6"/>
      <c r="E35" s="6"/>
    </row>
    <row r="36" customFormat="false" ht="109.5" hidden="false" customHeight="true" outlineLevel="0" collapsed="false">
      <c r="B36" s="56" t="s">
        <v>176</v>
      </c>
      <c r="C36" s="56"/>
      <c r="D36" s="56"/>
      <c r="E36" s="56"/>
      <c r="F36" s="56"/>
      <c r="G36" s="56"/>
      <c r="H36" s="56"/>
      <c r="I36" s="56"/>
    </row>
    <row r="37" customFormat="false" ht="90" hidden="false" customHeight="true" outlineLevel="0" collapsed="false">
      <c r="B37" s="56" t="s">
        <v>177</v>
      </c>
      <c r="C37" s="56"/>
      <c r="D37" s="56"/>
      <c r="E37" s="56"/>
      <c r="F37" s="56"/>
      <c r="G37" s="56"/>
      <c r="H37" s="56"/>
      <c r="I37" s="56"/>
    </row>
    <row r="38" customFormat="false" ht="90" hidden="false" customHeight="true" outlineLevel="0" collapsed="false">
      <c r="B38" s="56" t="s">
        <v>178</v>
      </c>
      <c r="C38" s="56"/>
      <c r="D38" s="56"/>
      <c r="E38" s="56"/>
      <c r="F38" s="56"/>
      <c r="G38" s="56"/>
      <c r="H38" s="56"/>
      <c r="I38" s="56"/>
    </row>
    <row r="39" customFormat="false" ht="109.5" hidden="false" customHeight="true" outlineLevel="0" collapsed="false">
      <c r="B39" s="56" t="s">
        <v>179</v>
      </c>
      <c r="C39" s="56"/>
      <c r="D39" s="56"/>
      <c r="E39" s="56"/>
      <c r="F39" s="56"/>
      <c r="G39" s="56"/>
      <c r="H39" s="56"/>
      <c r="I39" s="56"/>
    </row>
    <row r="40" customFormat="false" ht="109.5" hidden="false" customHeight="true" outlineLevel="0" collapsed="false">
      <c r="B40" s="56" t="s">
        <v>180</v>
      </c>
      <c r="C40" s="56"/>
      <c r="D40" s="56"/>
      <c r="E40" s="56"/>
      <c r="F40" s="56"/>
      <c r="G40" s="56"/>
      <c r="H40" s="56"/>
      <c r="I40" s="56"/>
    </row>
  </sheetData>
  <mergeCells count="5">
    <mergeCell ref="B36:I36"/>
    <mergeCell ref="B37:I37"/>
    <mergeCell ref="B38:I38"/>
    <mergeCell ref="B39:I39"/>
    <mergeCell ref="B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2026-09-22T05:43:07Z</dcterms:created>
  <dc:creator>openpyxl</dc:creator>
  <dc:description/>
  <dc:language>en-US</dc:language>
  <cp:lastModifiedBy/>
  <dcterms:modified xsi:type="dcterms:W3CDTF">2026-09-23T05:49:24Z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